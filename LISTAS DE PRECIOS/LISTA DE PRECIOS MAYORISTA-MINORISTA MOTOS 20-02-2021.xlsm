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ovi\OneDrive\Escritorio\RULEMANES RESISTENCIA\LISTAS DE PRECIOS\"/>
    </mc:Choice>
  </mc:AlternateContent>
  <xr:revisionPtr revIDLastSave="0" documentId="13_ncr:1_{39983A8D-A18D-41F4-BA13-D6B2EF9DB48A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5" i="1" l="1"/>
  <c r="J165" i="1" s="1"/>
  <c r="I164" i="1"/>
  <c r="J164" i="1" s="1"/>
  <c r="I77" i="1"/>
  <c r="J77" i="1" s="1"/>
  <c r="I178" i="1"/>
  <c r="J178" i="1" s="1"/>
  <c r="I168" i="1"/>
  <c r="J168" i="1" s="1"/>
  <c r="I167" i="1"/>
  <c r="J167" i="1" s="1"/>
  <c r="I170" i="1"/>
  <c r="J170" i="1" s="1"/>
  <c r="I7" i="1"/>
  <c r="J7" i="1" s="1"/>
  <c r="I25" i="1"/>
  <c r="J25" i="1" s="1"/>
  <c r="I24" i="1"/>
  <c r="J24" i="1" s="1"/>
  <c r="I23" i="1"/>
  <c r="J23" i="1" s="1"/>
  <c r="I22" i="1"/>
  <c r="J22" i="1" s="1"/>
  <c r="I253" i="1"/>
  <c r="J253" i="1" s="1"/>
  <c r="I17" i="1"/>
  <c r="J17" i="1" s="1"/>
  <c r="I18" i="1"/>
  <c r="J18" i="1" s="1"/>
  <c r="I19" i="1"/>
  <c r="J19" i="1" s="1"/>
  <c r="I20" i="1"/>
  <c r="J20" i="1" s="1"/>
  <c r="I21" i="1"/>
  <c r="J21" i="1" s="1"/>
  <c r="I26" i="1"/>
  <c r="J26" i="1" s="1"/>
  <c r="I27" i="1"/>
  <c r="J27" i="1" s="1"/>
  <c r="I28" i="1"/>
  <c r="J28" i="1" s="1"/>
  <c r="I29" i="1"/>
  <c r="J29" i="1" s="1"/>
  <c r="I30" i="1"/>
  <c r="J30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64" i="1"/>
  <c r="J64" i="1" s="1"/>
  <c r="I65" i="1"/>
  <c r="J65" i="1" s="1"/>
  <c r="I66" i="1"/>
  <c r="J66" i="1" s="1"/>
  <c r="I67" i="1"/>
  <c r="J67" i="1" s="1"/>
  <c r="I68" i="1"/>
  <c r="J68" i="1" s="1"/>
  <c r="I69" i="1"/>
  <c r="J69" i="1" s="1"/>
  <c r="I70" i="1"/>
  <c r="J70" i="1" s="1"/>
  <c r="I71" i="1"/>
  <c r="J71" i="1" s="1"/>
  <c r="I72" i="1"/>
  <c r="J72" i="1" s="1"/>
  <c r="I73" i="1"/>
  <c r="J73" i="1" s="1"/>
  <c r="I74" i="1"/>
  <c r="J74" i="1" s="1"/>
  <c r="I75" i="1"/>
  <c r="J75" i="1" s="1"/>
  <c r="I76" i="1"/>
  <c r="J76" i="1" s="1"/>
  <c r="I78" i="1"/>
  <c r="J78" i="1" s="1"/>
  <c r="I79" i="1"/>
  <c r="J79" i="1" s="1"/>
  <c r="I82" i="1"/>
  <c r="J82" i="1" s="1"/>
  <c r="I83" i="1"/>
  <c r="J83" i="1" s="1"/>
  <c r="I84" i="1"/>
  <c r="J84" i="1" s="1"/>
  <c r="I85" i="1"/>
  <c r="J85" i="1" s="1"/>
  <c r="I86" i="1"/>
  <c r="J86" i="1" s="1"/>
  <c r="I89" i="1"/>
  <c r="J89" i="1" s="1"/>
  <c r="I90" i="1"/>
  <c r="J90" i="1" s="1"/>
  <c r="I91" i="1"/>
  <c r="J91" i="1" s="1"/>
  <c r="I92" i="1"/>
  <c r="J92" i="1" s="1"/>
  <c r="I93" i="1"/>
  <c r="J93" i="1" s="1"/>
  <c r="I94" i="1"/>
  <c r="J94" i="1" s="1"/>
  <c r="I95" i="1"/>
  <c r="J95" i="1" s="1"/>
  <c r="I96" i="1"/>
  <c r="J96" i="1" s="1"/>
  <c r="I97" i="1"/>
  <c r="J97" i="1" s="1"/>
  <c r="I98" i="1"/>
  <c r="J98" i="1" s="1"/>
  <c r="I99" i="1"/>
  <c r="J99" i="1" s="1"/>
  <c r="I100" i="1"/>
  <c r="J100" i="1" s="1"/>
  <c r="I101" i="1"/>
  <c r="J101" i="1" s="1"/>
  <c r="I102" i="1"/>
  <c r="J102" i="1" s="1"/>
  <c r="I103" i="1"/>
  <c r="J103" i="1" s="1"/>
  <c r="I104" i="1"/>
  <c r="J104" i="1" s="1"/>
  <c r="I105" i="1"/>
  <c r="J105" i="1" s="1"/>
  <c r="I106" i="1"/>
  <c r="J106" i="1" s="1"/>
  <c r="I107" i="1"/>
  <c r="J107" i="1" s="1"/>
  <c r="I108" i="1"/>
  <c r="J108" i="1" s="1"/>
  <c r="I109" i="1"/>
  <c r="J109" i="1" s="1"/>
  <c r="I110" i="1"/>
  <c r="J110" i="1" s="1"/>
  <c r="I111" i="1"/>
  <c r="J111" i="1" s="1"/>
  <c r="I112" i="1"/>
  <c r="J112" i="1" s="1"/>
  <c r="I113" i="1"/>
  <c r="J113" i="1" s="1"/>
  <c r="I114" i="1"/>
  <c r="J114" i="1" s="1"/>
  <c r="I115" i="1"/>
  <c r="J115" i="1" s="1"/>
  <c r="I116" i="1"/>
  <c r="J116" i="1" s="1"/>
  <c r="I117" i="1"/>
  <c r="J117" i="1" s="1"/>
  <c r="I118" i="1"/>
  <c r="J118" i="1" s="1"/>
  <c r="I119" i="1"/>
  <c r="J119" i="1" s="1"/>
  <c r="I120" i="1"/>
  <c r="J120" i="1" s="1"/>
  <c r="I121" i="1"/>
  <c r="J121" i="1" s="1"/>
  <c r="I122" i="1"/>
  <c r="J122" i="1" s="1"/>
  <c r="I123" i="1"/>
  <c r="J123" i="1" s="1"/>
  <c r="I124" i="1"/>
  <c r="J124" i="1" s="1"/>
  <c r="I125" i="1"/>
  <c r="J125" i="1" s="1"/>
  <c r="I128" i="1"/>
  <c r="J128" i="1" s="1"/>
  <c r="I129" i="1"/>
  <c r="J129" i="1" s="1"/>
  <c r="I130" i="1"/>
  <c r="J130" i="1" s="1"/>
  <c r="I131" i="1"/>
  <c r="J131" i="1" s="1"/>
  <c r="I132" i="1"/>
  <c r="J132" i="1" s="1"/>
  <c r="I133" i="1"/>
  <c r="J133" i="1" s="1"/>
  <c r="I134" i="1"/>
  <c r="J134" i="1" s="1"/>
  <c r="I135" i="1"/>
  <c r="J135" i="1" s="1"/>
  <c r="I136" i="1"/>
  <c r="J136" i="1" s="1"/>
  <c r="I137" i="1"/>
  <c r="J137" i="1" s="1"/>
  <c r="I138" i="1"/>
  <c r="J138" i="1" s="1"/>
  <c r="I139" i="1"/>
  <c r="J139" i="1" s="1"/>
  <c r="I140" i="1"/>
  <c r="J140" i="1" s="1"/>
  <c r="I151" i="1"/>
  <c r="J151" i="1" s="1"/>
  <c r="I152" i="1"/>
  <c r="J152" i="1" s="1"/>
  <c r="I157" i="1"/>
  <c r="J157" i="1" s="1"/>
  <c r="I158" i="1"/>
  <c r="J158" i="1" s="1"/>
  <c r="I159" i="1"/>
  <c r="J159" i="1" s="1"/>
  <c r="I160" i="1"/>
  <c r="J160" i="1" s="1"/>
  <c r="I161" i="1"/>
  <c r="J161" i="1" s="1"/>
  <c r="I162" i="1"/>
  <c r="J162" i="1" s="1"/>
  <c r="I163" i="1"/>
  <c r="J163" i="1" s="1"/>
  <c r="I169" i="1"/>
  <c r="J169" i="1" s="1"/>
  <c r="I171" i="1"/>
  <c r="J171" i="1" s="1"/>
  <c r="I172" i="1"/>
  <c r="J172" i="1" s="1"/>
  <c r="I173" i="1"/>
  <c r="J173" i="1" s="1"/>
  <c r="I174" i="1"/>
  <c r="J174" i="1" s="1"/>
  <c r="I175" i="1"/>
  <c r="J175" i="1" s="1"/>
  <c r="I176" i="1"/>
  <c r="J176" i="1" s="1"/>
  <c r="I177" i="1"/>
  <c r="J177" i="1" s="1"/>
  <c r="I181" i="1"/>
  <c r="J181" i="1" s="1"/>
  <c r="I182" i="1"/>
  <c r="J182" i="1" s="1"/>
  <c r="I183" i="1"/>
  <c r="J183" i="1" s="1"/>
  <c r="I184" i="1"/>
  <c r="J184" i="1" s="1"/>
  <c r="I185" i="1"/>
  <c r="J185" i="1" s="1"/>
  <c r="I186" i="1"/>
  <c r="J186" i="1" s="1"/>
  <c r="I187" i="1"/>
  <c r="J187" i="1" s="1"/>
  <c r="I188" i="1"/>
  <c r="J188" i="1" s="1"/>
  <c r="I189" i="1"/>
  <c r="J189" i="1" s="1"/>
  <c r="I190" i="1"/>
  <c r="J190" i="1" s="1"/>
  <c r="I191" i="1"/>
  <c r="J191" i="1" s="1"/>
  <c r="I192" i="1"/>
  <c r="J192" i="1" s="1"/>
  <c r="I193" i="1"/>
  <c r="J193" i="1" s="1"/>
  <c r="I194" i="1"/>
  <c r="J194" i="1" s="1"/>
  <c r="I195" i="1"/>
  <c r="J195" i="1" s="1"/>
  <c r="I196" i="1"/>
  <c r="J196" i="1" s="1"/>
  <c r="I197" i="1"/>
  <c r="J197" i="1" s="1"/>
  <c r="I198" i="1"/>
  <c r="J198" i="1" s="1"/>
  <c r="I199" i="1"/>
  <c r="J199" i="1" s="1"/>
  <c r="I200" i="1"/>
  <c r="J200" i="1" s="1"/>
  <c r="I201" i="1"/>
  <c r="J201" i="1" s="1"/>
  <c r="I202" i="1"/>
  <c r="J202" i="1" s="1"/>
  <c r="I203" i="1"/>
  <c r="J203" i="1" s="1"/>
  <c r="I204" i="1"/>
  <c r="J204" i="1" s="1"/>
  <c r="I205" i="1"/>
  <c r="J205" i="1" s="1"/>
  <c r="I206" i="1"/>
  <c r="J206" i="1" s="1"/>
  <c r="I207" i="1"/>
  <c r="J207" i="1" s="1"/>
  <c r="I208" i="1"/>
  <c r="J208" i="1" s="1"/>
  <c r="I209" i="1"/>
  <c r="J209" i="1" s="1"/>
  <c r="I210" i="1"/>
  <c r="J210" i="1" s="1"/>
  <c r="I211" i="1"/>
  <c r="J211" i="1" s="1"/>
  <c r="I212" i="1"/>
  <c r="J212" i="1" s="1"/>
  <c r="I213" i="1"/>
  <c r="J213" i="1" s="1"/>
  <c r="I214" i="1"/>
  <c r="J214" i="1" s="1"/>
  <c r="I215" i="1"/>
  <c r="J215" i="1" s="1"/>
  <c r="I216" i="1"/>
  <c r="J216" i="1" s="1"/>
  <c r="I217" i="1"/>
  <c r="J217" i="1" s="1"/>
  <c r="I218" i="1"/>
  <c r="J218" i="1" s="1"/>
  <c r="I219" i="1"/>
  <c r="J219" i="1" s="1"/>
  <c r="I220" i="1"/>
  <c r="J220" i="1" s="1"/>
  <c r="I221" i="1"/>
  <c r="J221" i="1" s="1"/>
  <c r="I222" i="1"/>
  <c r="J222" i="1" s="1"/>
  <c r="I223" i="1"/>
  <c r="J223" i="1" s="1"/>
  <c r="I224" i="1"/>
  <c r="J224" i="1" s="1"/>
  <c r="I225" i="1"/>
  <c r="J225" i="1" s="1"/>
  <c r="I226" i="1"/>
  <c r="J226" i="1" s="1"/>
  <c r="I227" i="1"/>
  <c r="J227" i="1" s="1"/>
  <c r="I228" i="1"/>
  <c r="J228" i="1" s="1"/>
  <c r="I229" i="1"/>
  <c r="J229" i="1" s="1"/>
  <c r="I230" i="1"/>
  <c r="J230" i="1" s="1"/>
  <c r="I231" i="1"/>
  <c r="J231" i="1" s="1"/>
  <c r="I232" i="1"/>
  <c r="J232" i="1" s="1"/>
  <c r="I233" i="1"/>
  <c r="J233" i="1" s="1"/>
  <c r="I234" i="1"/>
  <c r="J234" i="1" s="1"/>
  <c r="I235" i="1"/>
  <c r="J235" i="1" s="1"/>
  <c r="I236" i="1"/>
  <c r="J236" i="1" s="1"/>
  <c r="I237" i="1"/>
  <c r="J237" i="1" s="1"/>
  <c r="I238" i="1"/>
  <c r="J238" i="1" s="1"/>
  <c r="I239" i="1"/>
  <c r="J239" i="1" s="1"/>
  <c r="I240" i="1"/>
  <c r="J240" i="1" s="1"/>
  <c r="I241" i="1"/>
  <c r="J241" i="1" s="1"/>
  <c r="I242" i="1"/>
  <c r="J242" i="1" s="1"/>
  <c r="I243" i="1"/>
  <c r="J243" i="1" s="1"/>
  <c r="I244" i="1"/>
  <c r="J244" i="1" s="1"/>
  <c r="I245" i="1"/>
  <c r="J245" i="1" s="1"/>
  <c r="I246" i="1"/>
  <c r="J246" i="1" s="1"/>
  <c r="I247" i="1"/>
  <c r="J247" i="1" s="1"/>
  <c r="I248" i="1"/>
  <c r="J248" i="1" s="1"/>
  <c r="I251" i="1"/>
  <c r="J251" i="1" s="1"/>
  <c r="I252" i="1"/>
  <c r="J252" i="1" s="1"/>
  <c r="I254" i="1"/>
  <c r="J254" i="1" s="1"/>
  <c r="I255" i="1"/>
  <c r="J255" i="1" s="1"/>
  <c r="I256" i="1"/>
  <c r="J256" i="1" s="1"/>
  <c r="I258" i="1"/>
  <c r="J258" i="1" s="1"/>
  <c r="I259" i="1"/>
  <c r="J259" i="1" s="1"/>
  <c r="I260" i="1"/>
  <c r="J260" i="1" s="1"/>
  <c r="I261" i="1"/>
  <c r="J261" i="1" s="1"/>
  <c r="I262" i="1"/>
  <c r="J262" i="1" s="1"/>
  <c r="I263" i="1"/>
  <c r="J263" i="1" s="1"/>
  <c r="I264" i="1"/>
  <c r="J264" i="1" s="1"/>
  <c r="I265" i="1"/>
  <c r="J265" i="1" s="1"/>
  <c r="I266" i="1"/>
  <c r="J266" i="1" s="1"/>
  <c r="I267" i="1"/>
  <c r="J267" i="1" s="1"/>
  <c r="I268" i="1"/>
  <c r="J268" i="1" s="1"/>
  <c r="I269" i="1"/>
  <c r="J269" i="1" s="1"/>
  <c r="I270" i="1"/>
  <c r="J270" i="1" s="1"/>
  <c r="I271" i="1"/>
  <c r="J271" i="1" s="1"/>
  <c r="I272" i="1"/>
  <c r="J272" i="1" s="1"/>
  <c r="I273" i="1"/>
  <c r="J273" i="1" s="1"/>
  <c r="I274" i="1"/>
  <c r="J274" i="1" s="1"/>
  <c r="I275" i="1"/>
  <c r="J275" i="1" s="1"/>
  <c r="I276" i="1"/>
  <c r="J276" i="1" s="1"/>
  <c r="I277" i="1"/>
  <c r="J277" i="1" s="1"/>
  <c r="I278" i="1"/>
  <c r="J278" i="1" s="1"/>
  <c r="I279" i="1"/>
  <c r="J279" i="1" s="1"/>
  <c r="I280" i="1"/>
  <c r="J280" i="1" s="1"/>
  <c r="I281" i="1"/>
  <c r="J281" i="1" s="1"/>
  <c r="I282" i="1"/>
  <c r="J282" i="1" s="1"/>
  <c r="I283" i="1"/>
  <c r="J283" i="1" s="1"/>
  <c r="I284" i="1"/>
  <c r="J284" i="1" s="1"/>
  <c r="I285" i="1"/>
  <c r="J285" i="1" s="1"/>
  <c r="I286" i="1"/>
  <c r="J286" i="1" s="1"/>
  <c r="I287" i="1"/>
  <c r="J287" i="1" s="1"/>
  <c r="I288" i="1"/>
  <c r="J288" i="1" s="1"/>
  <c r="I289" i="1"/>
  <c r="J289" i="1" s="1"/>
  <c r="I290" i="1"/>
  <c r="J290" i="1" s="1"/>
  <c r="I291" i="1"/>
  <c r="J291" i="1" s="1"/>
  <c r="I292" i="1"/>
  <c r="J292" i="1" s="1"/>
  <c r="I293" i="1"/>
  <c r="J293" i="1" s="1"/>
  <c r="I294" i="1"/>
  <c r="J294" i="1" s="1"/>
  <c r="I295" i="1"/>
  <c r="J295" i="1" s="1"/>
  <c r="I296" i="1"/>
  <c r="J296" i="1" s="1"/>
  <c r="I297" i="1"/>
  <c r="J297" i="1" s="1"/>
  <c r="I298" i="1"/>
  <c r="J298" i="1" s="1"/>
  <c r="I299" i="1"/>
  <c r="J299" i="1" s="1"/>
  <c r="I300" i="1"/>
  <c r="J300" i="1" s="1"/>
  <c r="I301" i="1"/>
  <c r="J301" i="1" s="1"/>
  <c r="I302" i="1"/>
  <c r="J302" i="1" s="1"/>
  <c r="I303" i="1"/>
  <c r="J303" i="1" s="1"/>
  <c r="I304" i="1"/>
  <c r="J304" i="1" s="1"/>
  <c r="I305" i="1"/>
  <c r="J305" i="1" s="1"/>
  <c r="I306" i="1"/>
  <c r="J306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8" i="1" l="1"/>
  <c r="J8" i="1" s="1"/>
</calcChain>
</file>

<file path=xl/sharedStrings.xml><?xml version="1.0" encoding="utf-8"?>
<sst xmlns="http://schemas.openxmlformats.org/spreadsheetml/2006/main" count="802" uniqueCount="404">
  <si>
    <t>PRODUCTO</t>
  </si>
  <si>
    <t>MARCA</t>
  </si>
  <si>
    <t>PRECIO</t>
  </si>
  <si>
    <t>CAMARA 17 2.5</t>
  </si>
  <si>
    <t>CUBIERTA 18</t>
  </si>
  <si>
    <t>ZAPATA DE FRENO 110mm</t>
  </si>
  <si>
    <t>BUJÍA C7HSA</t>
  </si>
  <si>
    <t>BUJÍA C6HSA</t>
  </si>
  <si>
    <t>GIROLDI</t>
  </si>
  <si>
    <t>NGK</t>
  </si>
  <si>
    <t>SHELL</t>
  </si>
  <si>
    <t>MOTUL</t>
  </si>
  <si>
    <t>SUPER HORSE</t>
  </si>
  <si>
    <t>REINF</t>
  </si>
  <si>
    <t>MAHLI</t>
  </si>
  <si>
    <t>CADENA 428</t>
  </si>
  <si>
    <t>H5</t>
  </si>
  <si>
    <t>CASCO</t>
  </si>
  <si>
    <t>BOSCH</t>
  </si>
  <si>
    <t>YUASA</t>
  </si>
  <si>
    <t>WSTANDARD</t>
  </si>
  <si>
    <t>CADENA 428H</t>
  </si>
  <si>
    <t>YAMATO</t>
  </si>
  <si>
    <t>CABLE DE FRENO</t>
  </si>
  <si>
    <t>CABLE DE EMBRAGUE</t>
  </si>
  <si>
    <t>CABLE DE ACELERADOR</t>
  </si>
  <si>
    <t>DESCRIPCIÓN/USOS</t>
  </si>
  <si>
    <t>FILTRO DE NAFTA</t>
  </si>
  <si>
    <t>FILTRO DE AIRE</t>
  </si>
  <si>
    <t>UNIÓN DE CADENA 428</t>
  </si>
  <si>
    <t>UNIÓN DE CADENA 428H</t>
  </si>
  <si>
    <t>CUBIERTA 10</t>
  </si>
  <si>
    <t>CAMARA 17 2.75/3.00</t>
  </si>
  <si>
    <t>CAMARA 14 3.00</t>
  </si>
  <si>
    <t>CAMARA 14 2.75/3.00</t>
  </si>
  <si>
    <t>CAMARA 10 3.5</t>
  </si>
  <si>
    <t>CUBIERTA 17 2.5</t>
  </si>
  <si>
    <t>CUBIERTA 17 2.75</t>
  </si>
  <si>
    <t>CUBIERTA 14 80/100</t>
  </si>
  <si>
    <t>PIÑON Y CORONA</t>
  </si>
  <si>
    <t>NSU</t>
  </si>
  <si>
    <t>HADA</t>
  </si>
  <si>
    <t>GOMA DE MAZA 110</t>
  </si>
  <si>
    <t>GOMA DE MAZA AX100</t>
  </si>
  <si>
    <t>GOMA DE MAZA CG</t>
  </si>
  <si>
    <t>ACEITE SINTETICO AX7</t>
  </si>
  <si>
    <t>ACEITE MINERAL AX5</t>
  </si>
  <si>
    <t>ACEITE MINERAL 3000</t>
  </si>
  <si>
    <t>ACEITE SINTETICO 5100</t>
  </si>
  <si>
    <t>TOUGH</t>
  </si>
  <si>
    <t>REPCOR</t>
  </si>
  <si>
    <t>RIFFEL</t>
  </si>
  <si>
    <t>CAMARA 14 3,00</t>
  </si>
  <si>
    <t>CAMARA 17 4,00/4,50</t>
  </si>
  <si>
    <t>CAMARA 18 2,75/3,00</t>
  </si>
  <si>
    <t>CAMARA 18 3,00</t>
  </si>
  <si>
    <t>CAMARA 19 2,75/3,00</t>
  </si>
  <si>
    <t>CAMARA 21 2,75/3,00</t>
  </si>
  <si>
    <t>GOMA DE MAZA DAX/MAX</t>
  </si>
  <si>
    <t>DORADA</t>
  </si>
  <si>
    <t>BRONCE</t>
  </si>
  <si>
    <t>MAHLI/NSU</t>
  </si>
  <si>
    <t>REPCOR/BHI</t>
  </si>
  <si>
    <t>CUBIERTA 18 3,00</t>
  </si>
  <si>
    <t>CUBIERTA 18 2,75</t>
  </si>
  <si>
    <t>DELANTERA 150</t>
  </si>
  <si>
    <t>TRASERA 150</t>
  </si>
  <si>
    <t>TRASERA 110/125</t>
  </si>
  <si>
    <t>DEL/TRAS 110/WAVE</t>
  </si>
  <si>
    <t>TRASERA</t>
  </si>
  <si>
    <t>ZAPATA DE FRENO 130mm</t>
  </si>
  <si>
    <t>RUHLMAN</t>
  </si>
  <si>
    <t>BHI</t>
  </si>
  <si>
    <t>GOMA DE MAZA BIZ 125</t>
  </si>
  <si>
    <t>GOMA DE MAZA XR 250</t>
  </si>
  <si>
    <t>GOMA DE MAZA SKUA</t>
  </si>
  <si>
    <t>HORNG F.</t>
  </si>
  <si>
    <t>CUBIERTA 13</t>
  </si>
  <si>
    <t>TRASERA TRIP TUNNING</t>
  </si>
  <si>
    <t>EVOLUTION</t>
  </si>
  <si>
    <t>VICOMAND</t>
  </si>
  <si>
    <t>UNIFLEX</t>
  </si>
  <si>
    <t>WSTANDARD B</t>
  </si>
  <si>
    <t>WSTANDARD N</t>
  </si>
  <si>
    <t xml:space="preserve">WSTANDARD N </t>
  </si>
  <si>
    <t>HONDA CG 150</t>
  </si>
  <si>
    <t>YAMAHA NEW CRYPTON</t>
  </si>
  <si>
    <t>YAMAHA YBR</t>
  </si>
  <si>
    <t>YAMAHA CRYPTON</t>
  </si>
  <si>
    <t>GILERA SMASH</t>
  </si>
  <si>
    <t>HONDA DAX 70</t>
  </si>
  <si>
    <t>HONDA WAVE NF</t>
  </si>
  <si>
    <t>HONDA STORM 125</t>
  </si>
  <si>
    <t>HONDA CG 125 TITAN</t>
  </si>
  <si>
    <t>SP 05636</t>
  </si>
  <si>
    <t>SP 06135</t>
  </si>
  <si>
    <t>CL 3650</t>
  </si>
  <si>
    <t>CL 3040</t>
  </si>
  <si>
    <t>SP 05153</t>
  </si>
  <si>
    <t>SP 06929</t>
  </si>
  <si>
    <t>SP 05260</t>
  </si>
  <si>
    <t>SP 06068</t>
  </si>
  <si>
    <t>SP 05108</t>
  </si>
  <si>
    <t>SP 06943</t>
  </si>
  <si>
    <t>SP 06881</t>
  </si>
  <si>
    <t>YAMAHA YBR 125</t>
  </si>
  <si>
    <t>SP 05126</t>
  </si>
  <si>
    <t>HONDA NXR 125 BROS</t>
  </si>
  <si>
    <t>CL 3235</t>
  </si>
  <si>
    <t>HONDA XR 250</t>
  </si>
  <si>
    <t>TUNDRA 200/DAKAR 200</t>
  </si>
  <si>
    <t>OU 2491</t>
  </si>
  <si>
    <t>SP 05322</t>
  </si>
  <si>
    <t>SKUA 150/ CG 150</t>
  </si>
  <si>
    <t>SP 05986</t>
  </si>
  <si>
    <t>HONDA 125 TITAN</t>
  </si>
  <si>
    <t>HONDA CBX 250 TWISTER</t>
  </si>
  <si>
    <t>SP 05833</t>
  </si>
  <si>
    <t>SP 05267</t>
  </si>
  <si>
    <t>HONDA XLR 125</t>
  </si>
  <si>
    <t>CK 104</t>
  </si>
  <si>
    <t>MOTOMEL SKUA 150</t>
  </si>
  <si>
    <t>CK 127</t>
  </si>
  <si>
    <t>CK 099</t>
  </si>
  <si>
    <t>HONDA XR 250 TORNADO</t>
  </si>
  <si>
    <t>CK 105</t>
  </si>
  <si>
    <t>HONDA NX 150 BROS</t>
  </si>
  <si>
    <t>CK 465</t>
  </si>
  <si>
    <t>MOTOMEL CG 150</t>
  </si>
  <si>
    <t>MOTOMEL DAKAR 200</t>
  </si>
  <si>
    <t>CK 346</t>
  </si>
  <si>
    <t>CABLE DE CEBADOR</t>
  </si>
  <si>
    <t>CABLES</t>
  </si>
  <si>
    <t>CL 3730</t>
  </si>
  <si>
    <t>CL 2190</t>
  </si>
  <si>
    <t>SP 05287</t>
  </si>
  <si>
    <t>HONDA WAVE NF 100</t>
  </si>
  <si>
    <t>YAMAHA FZ 16</t>
  </si>
  <si>
    <t>SP 06685</t>
  </si>
  <si>
    <t>CK 527</t>
  </si>
  <si>
    <t>SUZUKI AX 100</t>
  </si>
  <si>
    <t>SP 05112</t>
  </si>
  <si>
    <t>CK 442</t>
  </si>
  <si>
    <t>ZANELLA RX 150</t>
  </si>
  <si>
    <t>SP 06509</t>
  </si>
  <si>
    <t>OU2485</t>
  </si>
  <si>
    <t>SP 06937</t>
  </si>
  <si>
    <t>CK 473</t>
  </si>
  <si>
    <t>CK 196</t>
  </si>
  <si>
    <t>HONDA TITAN 125</t>
  </si>
  <si>
    <t>SP 06127</t>
  </si>
  <si>
    <t>BT</t>
  </si>
  <si>
    <t>CL 5427</t>
  </si>
  <si>
    <t>CK 241</t>
  </si>
  <si>
    <t>SP 07107</t>
  </si>
  <si>
    <t>HONDA WAVE 2013/2016</t>
  </si>
  <si>
    <t>SP 05256</t>
  </si>
  <si>
    <t>SP 05119</t>
  </si>
  <si>
    <t>SP 06879</t>
  </si>
  <si>
    <t>HONDA BIZ 125</t>
  </si>
  <si>
    <t>SP 06836</t>
  </si>
  <si>
    <t>HONDA TITAN 2002/2003</t>
  </si>
  <si>
    <t>HONDA WAVE</t>
  </si>
  <si>
    <t>SP 05271</t>
  </si>
  <si>
    <t>SP 05114</t>
  </si>
  <si>
    <t>HONDA CG TITAN 150</t>
  </si>
  <si>
    <t>SP 05282</t>
  </si>
  <si>
    <t>CL 3640</t>
  </si>
  <si>
    <t>CL 3716</t>
  </si>
  <si>
    <t>CL 3330</t>
  </si>
  <si>
    <t>CK 497</t>
  </si>
  <si>
    <t>CL 3530</t>
  </si>
  <si>
    <t>CK 096</t>
  </si>
  <si>
    <t>CK 101</t>
  </si>
  <si>
    <t>CK 189</t>
  </si>
  <si>
    <t>HONDA 125 FAN</t>
  </si>
  <si>
    <t>HONDA TITAN 2000</t>
  </si>
  <si>
    <t>HONDA TITAN 2000 DOBLE</t>
  </si>
  <si>
    <t>YAMAHA CRYPTON 100</t>
  </si>
  <si>
    <t>YAMAHA XTZ 125</t>
  </si>
  <si>
    <t>WSTANDAR N</t>
  </si>
  <si>
    <t>SP 05639</t>
  </si>
  <si>
    <t>SP 06749</t>
  </si>
  <si>
    <t>SP 05605</t>
  </si>
  <si>
    <t>SP 06279</t>
  </si>
  <si>
    <t>SP 06684</t>
  </si>
  <si>
    <t>SP 06748</t>
  </si>
  <si>
    <t>YAMAHA YBR 250</t>
  </si>
  <si>
    <t>YAMAHA CRYPTON T105</t>
  </si>
  <si>
    <t>YAMAHA FZ16</t>
  </si>
  <si>
    <t>COD. CBA</t>
  </si>
  <si>
    <t>GOMA DE MAZA WAVE/BIZ105</t>
  </si>
  <si>
    <t>CABLE DE FRENO DEL.</t>
  </si>
  <si>
    <t>KIT TRANS.</t>
  </si>
  <si>
    <t>KIT TRANS. BIZ 125</t>
  </si>
  <si>
    <t>KIT TRANS. CG 150</t>
  </si>
  <si>
    <t>KIT TRANS. NEW WAVE</t>
  </si>
  <si>
    <t>KIT TRANS. RX 150</t>
  </si>
  <si>
    <t>KIT TRANS. SKUA 150</t>
  </si>
  <si>
    <t>KIT TRANS. SMASH 110</t>
  </si>
  <si>
    <t>KIT TRANS. TRIP 110</t>
  </si>
  <si>
    <t>KIT TRANS. WAVE NF</t>
  </si>
  <si>
    <t>KIT TRANS. XR 150</t>
  </si>
  <si>
    <t>KIT TRANS. XR 250</t>
  </si>
  <si>
    <t>KIT TRANS. YBR 150</t>
  </si>
  <si>
    <t>JUNTA DE ESC. 110 (chica)</t>
  </si>
  <si>
    <t>JUNTA DE ESC. 150 (grande)</t>
  </si>
  <si>
    <t>GUARDAPOLVO RUEDA 110</t>
  </si>
  <si>
    <t>HONDA TITAN 125 00/01</t>
  </si>
  <si>
    <t>HONDADAX50/ZANELLAHOT</t>
  </si>
  <si>
    <t>YAMAHA YBR125 02/04</t>
  </si>
  <si>
    <t>ZANELLA RX150(mod viejo)</t>
  </si>
  <si>
    <t>ELITE BIZ TITAN</t>
  </si>
  <si>
    <t>TIRA CADENA (PAR) JGO.</t>
  </si>
  <si>
    <t>ELEVAN</t>
  </si>
  <si>
    <t>PETRONAS</t>
  </si>
  <si>
    <t>ACEITE MINERAL F300</t>
  </si>
  <si>
    <t>ACEITE SINTETICO F500</t>
  </si>
  <si>
    <t>CUBIERTA 14 300</t>
  </si>
  <si>
    <t>CUBIERTA 17 2.25</t>
  </si>
  <si>
    <t>DELANTERA 110</t>
  </si>
  <si>
    <t>CUBIERTA 10 350</t>
  </si>
  <si>
    <t>TRASERA DAX</t>
  </si>
  <si>
    <t>J032ZV</t>
  </si>
  <si>
    <t>GI3012</t>
  </si>
  <si>
    <t>GI2003</t>
  </si>
  <si>
    <t>CUBIERTA 14 275</t>
  </si>
  <si>
    <t>GI3018</t>
  </si>
  <si>
    <t>RETÉN DE VALVULA 110</t>
  </si>
  <si>
    <t>VALVULAS 110 (PAR)</t>
  </si>
  <si>
    <t>CADENA 428H DORADA</t>
  </si>
  <si>
    <t>CAMARA 17 3,50</t>
  </si>
  <si>
    <t>ACEITES</t>
  </si>
  <si>
    <t>BATERÍAS/ BUJÍAS</t>
  </si>
  <si>
    <t>TRANSIMISÓN</t>
  </si>
  <si>
    <t>FRENOS</t>
  </si>
  <si>
    <t>LITTON</t>
  </si>
  <si>
    <t>PASTILLA DE FRENO 110</t>
  </si>
  <si>
    <t>PASTILLA DE FRENO TITAN 150 / MOTOMEL 150 / HUNER 150</t>
  </si>
  <si>
    <t>PASTILLA DE FRENO WAVE / NEW TITAN</t>
  </si>
  <si>
    <t>PASTILLA DE FRENO XR250 / BIZ 125 / XR 150 / XR 125L</t>
  </si>
  <si>
    <t>CRF 150 - 230</t>
  </si>
  <si>
    <t>PASTILLA DE FRENO CBX 250 / YBR 125 / FAZER 250</t>
  </si>
  <si>
    <t>VARILLA DE FRENO 110</t>
  </si>
  <si>
    <t>RESORTE DE FRENO 110</t>
  </si>
  <si>
    <t>OTROS</t>
  </si>
  <si>
    <t>CADENA 428 DORADA</t>
  </si>
  <si>
    <t>CAMARAS / CUBIERTAS / GOMA DE MAZA / EJE DE RUEDA</t>
  </si>
  <si>
    <t>EJE DE RUEDA DELANTERO 110</t>
  </si>
  <si>
    <t>EJE DE RUEDA TRASERO 110</t>
  </si>
  <si>
    <t>EL PAR</t>
  </si>
  <si>
    <t>ESPÁRRAGO DE ESCAPE 110</t>
  </si>
  <si>
    <t>EL PAR CON TUERCAS</t>
  </si>
  <si>
    <t>CON TUERCA</t>
  </si>
  <si>
    <t>C/U</t>
  </si>
  <si>
    <t>JGO.</t>
  </si>
  <si>
    <t>FAR</t>
  </si>
  <si>
    <t>FA 30047</t>
  </si>
  <si>
    <t>GL2010</t>
  </si>
  <si>
    <t>JM0007</t>
  </si>
  <si>
    <t>RU797</t>
  </si>
  <si>
    <t>ESCAPE</t>
  </si>
  <si>
    <t>CUBIERTA 17 4.6</t>
  </si>
  <si>
    <t>TRASERA XR 150 / SKUA 150</t>
  </si>
  <si>
    <t>CK892</t>
  </si>
  <si>
    <t>CK894</t>
  </si>
  <si>
    <t>BUJÍA D8EA</t>
  </si>
  <si>
    <t>BUC6HSABR</t>
  </si>
  <si>
    <t>BUC7HSABR</t>
  </si>
  <si>
    <t>COD. INTERCAP</t>
  </si>
  <si>
    <t>ACEITE AX3</t>
  </si>
  <si>
    <t>AE1001</t>
  </si>
  <si>
    <t>AE999</t>
  </si>
  <si>
    <t>COD. WSTAND.</t>
  </si>
  <si>
    <t>MITSUMOTO</t>
  </si>
  <si>
    <t>150 DEL</t>
  </si>
  <si>
    <t>150 TRAS</t>
  </si>
  <si>
    <t>118 ESLABONES</t>
  </si>
  <si>
    <t>ACELERADOR COMPLETO 110</t>
  </si>
  <si>
    <t>MANGO PARA ACELERADOR 110</t>
  </si>
  <si>
    <t>CUERPO PARA ACELERADOR 110</t>
  </si>
  <si>
    <t>110 / SMASH / BIT / TRIP / ZB</t>
  </si>
  <si>
    <t>43/14</t>
  </si>
  <si>
    <t>45/14</t>
  </si>
  <si>
    <t>GI3001</t>
  </si>
  <si>
    <t>GI3002</t>
  </si>
  <si>
    <t>GI3021</t>
  </si>
  <si>
    <t>GI3037</t>
  </si>
  <si>
    <t>JM0008</t>
  </si>
  <si>
    <t>WEGA</t>
  </si>
  <si>
    <t>POR MAYOR</t>
  </si>
  <si>
    <t>CANT.</t>
  </si>
  <si>
    <t>DESC.</t>
  </si>
  <si>
    <t>KIT TRANS. AX100</t>
  </si>
  <si>
    <t>KIT TRANS. CRYPTON</t>
  </si>
  <si>
    <t>KIT TRANS. XTZ  125</t>
  </si>
  <si>
    <t>KIT TRANS. XTZ 250</t>
  </si>
  <si>
    <t>HERRAMIENTAS VARIAS</t>
  </si>
  <si>
    <t>PISTOLA APLICADORA DE SILICONAS</t>
  </si>
  <si>
    <t>KEMEN</t>
  </si>
  <si>
    <t>FA 30052</t>
  </si>
  <si>
    <t>H4</t>
  </si>
  <si>
    <t>LAMPARA H4</t>
  </si>
  <si>
    <t>TITÁN/WAVE</t>
  </si>
  <si>
    <t>RO06459</t>
  </si>
  <si>
    <t>LAMPARA 110</t>
  </si>
  <si>
    <t>FOCO STOP</t>
  </si>
  <si>
    <t>LUZ DE GIRO</t>
  </si>
  <si>
    <t>EXTRACTOR DE POLEAS/RULEMANES 2 GARRAS 6"</t>
  </si>
  <si>
    <t>EXTRACTOR DE POLEAS/RULEMANES 3 GARRAS 6"</t>
  </si>
  <si>
    <t>LAMPARA T/BOSCH 110</t>
  </si>
  <si>
    <t>GRAFITOIL</t>
  </si>
  <si>
    <t>ACEITE 2T ROJO 100CC</t>
  </si>
  <si>
    <t>ACEITE 2T ROJO 1L</t>
  </si>
  <si>
    <t>GRASAS</t>
  </si>
  <si>
    <t>MULTIUSO frasco chico 120g</t>
  </si>
  <si>
    <t>MULTIUSO frasco 500g</t>
  </si>
  <si>
    <t>MULTIUSO frasco grande 950g</t>
  </si>
  <si>
    <t>MULTIUSO balde 4kg</t>
  </si>
  <si>
    <t>FIBROSA frasco chico 120g</t>
  </si>
  <si>
    <t>FIBROSA frasco 500g</t>
  </si>
  <si>
    <t>FIBROSA frasco grande 950g</t>
  </si>
  <si>
    <t>FIBROSA balde 4kg</t>
  </si>
  <si>
    <t>GRAFITADA INDUSTRIAL frasco chico 120g</t>
  </si>
  <si>
    <t>GRAFITADA INDUSTRIAL frasco 500g</t>
  </si>
  <si>
    <t>GRAFITADA INDUSTRIAL frasco grande 950g</t>
  </si>
  <si>
    <t>GRAFITADA INDUSTRIAL balde 4kg</t>
  </si>
  <si>
    <t>ALTA TEMPERATURA frasco chico 120g</t>
  </si>
  <si>
    <t>ALTA TEMPERATURA frasco 500g</t>
  </si>
  <si>
    <t>SILICONADA frasco chico 40g</t>
  </si>
  <si>
    <t>SILICONADA frasco mediano 100g</t>
  </si>
  <si>
    <t>RULEMANES RÁPIDOS frasco chico 120g</t>
  </si>
  <si>
    <t>RULEMANES RÁPIDOS frasco 500g</t>
  </si>
  <si>
    <t>RULEMANES RÁPIDOS frasco grande 950g</t>
  </si>
  <si>
    <t>GRASA P/CABEZALES pomo 80g</t>
  </si>
  <si>
    <t>KIT 25g.35u. Sachets surtidos 875g</t>
  </si>
  <si>
    <t>multiuso/fibrosa sachet 25g</t>
  </si>
  <si>
    <t>siliconada/grafitada/rr sachet 25g</t>
  </si>
  <si>
    <t>EXTRACTOR DE POLEAS/RULEMANES 3 GARRAS 4"</t>
  </si>
  <si>
    <t>TELA ESMERIL</t>
  </si>
  <si>
    <t>TACSA</t>
  </si>
  <si>
    <t>DEWALT</t>
  </si>
  <si>
    <t>CINTA AISLADORA 10m</t>
  </si>
  <si>
    <t>CINTA AISLADORA 20m</t>
  </si>
  <si>
    <t>RULEMANES RESISTENCIA</t>
  </si>
  <si>
    <t>PABLO AROVICH - ADMINISTRACIÓN</t>
  </si>
  <si>
    <t>3624-123643 / rulemanesresistencia2020@gmail.com</t>
  </si>
  <si>
    <r>
      <t>Lista de Precios FEB2021 *</t>
    </r>
    <r>
      <rPr>
        <sz val="10"/>
        <color theme="1"/>
        <rFont val="Calibri"/>
        <family val="2"/>
        <scheme val="minor"/>
      </rPr>
      <t>no incluye IVA</t>
    </r>
  </si>
  <si>
    <t>BT08011</t>
  </si>
  <si>
    <t>BATERIA CON ACIDO</t>
  </si>
  <si>
    <t>BATERIA GEL BB5LB</t>
  </si>
  <si>
    <t>BATERIA GEL BTX5L</t>
  </si>
  <si>
    <t>BATERÍA GEL YTX7L-BS</t>
  </si>
  <si>
    <t>BATERIA GEL 12N5-3B</t>
  </si>
  <si>
    <t>OSAKA</t>
  </si>
  <si>
    <t>JRS</t>
  </si>
  <si>
    <t>BATERIA GEL YTX4L-BS</t>
  </si>
  <si>
    <t>BATERIA GEL YTX5L-BS</t>
  </si>
  <si>
    <t>NR03979</t>
  </si>
  <si>
    <t>OR26517</t>
  </si>
  <si>
    <t>OR26521</t>
  </si>
  <si>
    <t>OR26524</t>
  </si>
  <si>
    <t>GULF</t>
  </si>
  <si>
    <t>ACEITE DOY PACK</t>
  </si>
  <si>
    <t>GULF007</t>
  </si>
  <si>
    <t>ESPEJOS 110</t>
  </si>
  <si>
    <t>CK156</t>
  </si>
  <si>
    <t>AMORTIGUADORES 110</t>
  </si>
  <si>
    <t>AMORTIGUADORES WAVE</t>
  </si>
  <si>
    <t>ESPEJOS WAVE (EL PAR)</t>
  </si>
  <si>
    <t>HONDA</t>
  </si>
  <si>
    <t>RESORTE DE MULETA 110</t>
  </si>
  <si>
    <t>J066ZV</t>
  </si>
  <si>
    <t>J042ZV</t>
  </si>
  <si>
    <t>FECHA ACT</t>
  </si>
  <si>
    <t>NR03233</t>
  </si>
  <si>
    <t>J518ZV</t>
  </si>
  <si>
    <t>MD3025</t>
  </si>
  <si>
    <t>GUARDAPOLVO RETEN BARRAL YBR 125</t>
  </si>
  <si>
    <t>VC805</t>
  </si>
  <si>
    <t>RETEN SUSPENSION 110</t>
  </si>
  <si>
    <t>J004RSG</t>
  </si>
  <si>
    <t>PALANCA DE ARRANQUE 110</t>
  </si>
  <si>
    <t>PALANCA DE ARRANQUE YBR 125</t>
  </si>
  <si>
    <t>MANGO DE ACELERADOR C/PUÑOS 110</t>
  </si>
  <si>
    <t>CG 125 TITAN 2000</t>
  </si>
  <si>
    <t xml:space="preserve">PALANCA DE ARRANQUE SIMPLE CG 125 </t>
  </si>
  <si>
    <t>PALANCA DE ARRANQUE SIMPLE YBR 125</t>
  </si>
  <si>
    <t>PALANCA DE CAMBIO ESTRIA LARGA 110</t>
  </si>
  <si>
    <t>PALANCA DE CAMBIO ESTRIA CORTA 110</t>
  </si>
  <si>
    <t>AF2600</t>
  </si>
  <si>
    <t>CK316</t>
  </si>
  <si>
    <t>YBR 125</t>
  </si>
  <si>
    <t>SONDA DE VALVULA</t>
  </si>
  <si>
    <t>GOMA DE POSAPIE 110</t>
  </si>
  <si>
    <t>J094ZV</t>
  </si>
  <si>
    <t>RODAMIENTOS</t>
  </si>
  <si>
    <t>NTN</t>
  </si>
  <si>
    <t>HK 1512FM</t>
  </si>
  <si>
    <t>BAJAJ ROUSER</t>
  </si>
  <si>
    <t>6300 2RS</t>
  </si>
  <si>
    <t>6300 ZZ</t>
  </si>
  <si>
    <t>6301 2RS</t>
  </si>
  <si>
    <t>6301 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</si>
</sst>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2C0A]\ #,##0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164" fontId="1" fillId="0" borderId="0" xfId="0" applyNumberFormat="1" applyFont="1" applyAlignment="1">
      <alignment horizontal="left"/>
    </xf>
    <xf numFmtId="0" fontId="2" fillId="0" borderId="1" xfId="0" applyFont="1" applyBorder="1"/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Fill="1" applyBorder="1"/>
    <xf numFmtId="0" fontId="0" fillId="0" borderId="1" xfId="0" applyBorder="1"/>
    <xf numFmtId="0" fontId="2" fillId="0" borderId="1" xfId="0" applyNumberFormat="1" applyFont="1" applyBorder="1" applyAlignment="1">
      <alignment horizontal="left"/>
    </xf>
    <xf numFmtId="0" fontId="2" fillId="0" borderId="0" xfId="0" applyFont="1"/>
    <xf numFmtId="0" fontId="2" fillId="0" borderId="2" xfId="0" applyFont="1" applyBorder="1"/>
    <xf numFmtId="164" fontId="2" fillId="0" borderId="2" xfId="0" applyNumberFormat="1" applyFont="1" applyBorder="1" applyAlignment="1">
      <alignment horizontal="left"/>
    </xf>
    <xf numFmtId="0" fontId="2" fillId="0" borderId="3" xfId="0" applyFont="1" applyBorder="1"/>
    <xf numFmtId="164" fontId="2" fillId="0" borderId="3" xfId="0" applyNumberFormat="1" applyFont="1" applyBorder="1" applyAlignment="1">
      <alignment horizontal="left"/>
    </xf>
    <xf numFmtId="0" fontId="2" fillId="0" borderId="2" xfId="0" applyFont="1" applyFill="1" applyBorder="1"/>
    <xf numFmtId="0" fontId="1" fillId="0" borderId="1" xfId="0" applyFont="1" applyBorder="1"/>
    <xf numFmtId="0" fontId="1" fillId="0" borderId="1" xfId="0" applyFont="1" applyFill="1" applyBorder="1"/>
    <xf numFmtId="2" fontId="1" fillId="0" borderId="1" xfId="1" applyNumberFormat="1" applyFont="1" applyBorder="1"/>
    <xf numFmtId="164" fontId="1" fillId="0" borderId="1" xfId="0" applyNumberFormat="1" applyFont="1" applyBorder="1"/>
    <xf numFmtId="164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wrapText="1"/>
    </xf>
    <xf numFmtId="164" fontId="1" fillId="0" borderId="2" xfId="0" applyNumberFormat="1" applyFont="1" applyBorder="1"/>
    <xf numFmtId="2" fontId="1" fillId="0" borderId="0" xfId="1" applyNumberFormat="1" applyFont="1" applyBorder="1"/>
    <xf numFmtId="164" fontId="1" fillId="0" borderId="1" xfId="0" applyNumberFormat="1" applyFont="1" applyFill="1" applyBorder="1"/>
    <xf numFmtId="14" fontId="1" fillId="0" borderId="0" xfId="0" applyNumberFormat="1" applyFont="1" applyAlignment="1">
      <alignment horizontal="left"/>
    </xf>
    <xf numFmtId="14" fontId="2" fillId="0" borderId="2" xfId="0" applyNumberFormat="1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14" fontId="2" fillId="0" borderId="3" xfId="0" applyNumberFormat="1" applyFont="1" applyBorder="1" applyAlignment="1">
      <alignment horizontal="left"/>
    </xf>
    <xf numFmtId="14" fontId="1" fillId="0" borderId="1" xfId="0" applyNumberFormat="1" applyFont="1" applyBorder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307"/>
  <sheetViews>
    <sheetView tabSelected="1" topLeftCell="A137" zoomScaleNormal="100" workbookViewId="0">
      <selection activeCell="C144" sqref="C144"/>
    </sheetView>
  </sheetViews>
  <sheetFormatPr baseColWidth="10" defaultColWidth="8.7265625" defaultRowHeight="19.5" x14ac:dyDescent="0.45"/>
  <cols>
    <col min="1" max="1" width="48.08984375" style="1" customWidth="1"/>
    <col min="2" max="2" width="18.7265625" style="1" customWidth="1"/>
    <col min="3" max="3" width="11.1796875" style="2" customWidth="1"/>
    <col min="4" max="4" width="13.90625" style="24" customWidth="1"/>
    <col min="5" max="5" width="35" style="1" customWidth="1"/>
    <col min="6" max="6" width="14.1796875" style="9" customWidth="1"/>
    <col min="7" max="7" width="18.54296875" style="9" customWidth="1"/>
    <col min="8" max="8" width="18.08984375" customWidth="1"/>
    <col min="9" max="9" width="13.453125" style="1" customWidth="1"/>
    <col min="10" max="10" width="10.90625" style="1" customWidth="1"/>
    <col min="11" max="11" width="8.7265625" customWidth="1"/>
  </cols>
  <sheetData>
    <row r="1" spans="1:11" x14ac:dyDescent="0.45">
      <c r="A1" s="29" t="s">
        <v>344</v>
      </c>
      <c r="B1" s="29"/>
      <c r="I1" s="31" t="s">
        <v>347</v>
      </c>
    </row>
    <row r="2" spans="1:11" x14ac:dyDescent="0.45">
      <c r="A2" s="29"/>
      <c r="B2" s="29"/>
      <c r="I2" s="31"/>
    </row>
    <row r="3" spans="1:11" x14ac:dyDescent="0.45">
      <c r="A3" s="30" t="s">
        <v>345</v>
      </c>
      <c r="B3" s="30"/>
      <c r="I3" s="31"/>
    </row>
    <row r="4" spans="1:11" x14ac:dyDescent="0.45">
      <c r="A4" s="30" t="s">
        <v>346</v>
      </c>
      <c r="B4" s="30"/>
      <c r="I4" s="31"/>
    </row>
    <row r="5" spans="1:11" x14ac:dyDescent="0.45">
      <c r="A5" s="34" t="s">
        <v>232</v>
      </c>
      <c r="B5" s="34"/>
      <c r="C5" s="34"/>
      <c r="D5" s="34"/>
      <c r="E5" s="34"/>
      <c r="F5" s="34"/>
      <c r="G5" s="34"/>
      <c r="H5" s="34"/>
      <c r="I5" s="15" t="s">
        <v>290</v>
      </c>
      <c r="J5" s="15" t="s">
        <v>291</v>
      </c>
      <c r="K5" s="15" t="s">
        <v>292</v>
      </c>
    </row>
    <row r="6" spans="1:11" x14ac:dyDescent="0.45">
      <c r="A6" s="10" t="s">
        <v>0</v>
      </c>
      <c r="B6" s="10" t="s">
        <v>1</v>
      </c>
      <c r="C6" s="11" t="s">
        <v>2</v>
      </c>
      <c r="D6" s="25" t="s">
        <v>374</v>
      </c>
      <c r="E6" s="10" t="s">
        <v>26</v>
      </c>
      <c r="F6" s="10" t="s">
        <v>190</v>
      </c>
      <c r="G6" s="10" t="s">
        <v>269</v>
      </c>
      <c r="H6" s="14" t="s">
        <v>273</v>
      </c>
      <c r="I6" s="16" t="s">
        <v>2</v>
      </c>
      <c r="J6" s="15">
        <v>10</v>
      </c>
      <c r="K6" s="17">
        <v>0.2</v>
      </c>
    </row>
    <row r="7" spans="1:11" x14ac:dyDescent="0.45">
      <c r="A7" s="10" t="s">
        <v>363</v>
      </c>
      <c r="B7" s="10" t="s">
        <v>362</v>
      </c>
      <c r="C7" s="11">
        <v>330</v>
      </c>
      <c r="D7" s="25">
        <v>44247</v>
      </c>
      <c r="E7" s="10"/>
      <c r="F7" s="10" t="s">
        <v>364</v>
      </c>
      <c r="G7" s="10"/>
      <c r="H7" s="14"/>
      <c r="I7" s="23">
        <f t="shared" ref="I7:I14" si="0">C7/(1+$K$6)</f>
        <v>275</v>
      </c>
      <c r="J7" s="18">
        <f>I7*$J$6</f>
        <v>2750</v>
      </c>
      <c r="K7" s="22"/>
    </row>
    <row r="8" spans="1:11" x14ac:dyDescent="0.45">
      <c r="A8" s="3" t="s">
        <v>216</v>
      </c>
      <c r="B8" s="3" t="s">
        <v>215</v>
      </c>
      <c r="C8" s="4">
        <v>360</v>
      </c>
      <c r="D8" s="26">
        <v>44247</v>
      </c>
      <c r="E8" s="3"/>
      <c r="F8" s="3"/>
      <c r="G8" s="3">
        <v>9002110004</v>
      </c>
      <c r="H8" s="7"/>
      <c r="I8" s="18">
        <f t="shared" si="0"/>
        <v>300</v>
      </c>
      <c r="J8" s="18">
        <f>I8*$J$6</f>
        <v>3000</v>
      </c>
    </row>
    <row r="9" spans="1:11" x14ac:dyDescent="0.45">
      <c r="A9" s="3" t="s">
        <v>217</v>
      </c>
      <c r="B9" s="3" t="s">
        <v>215</v>
      </c>
      <c r="C9" s="4">
        <v>520</v>
      </c>
      <c r="D9" s="26"/>
      <c r="E9" s="3"/>
      <c r="F9" s="3"/>
      <c r="G9" s="3">
        <v>9002110002</v>
      </c>
      <c r="H9" s="7"/>
      <c r="I9" s="18">
        <f t="shared" si="0"/>
        <v>433.33333333333337</v>
      </c>
      <c r="J9" s="18">
        <f t="shared" ref="J9:J77" si="1">I9*$J$6</f>
        <v>4333.3333333333339</v>
      </c>
    </row>
    <row r="10" spans="1:11" x14ac:dyDescent="0.45">
      <c r="A10" s="3" t="s">
        <v>270</v>
      </c>
      <c r="B10" s="3" t="s">
        <v>10</v>
      </c>
      <c r="C10" s="4">
        <v>360</v>
      </c>
      <c r="D10" s="26"/>
      <c r="E10" s="3"/>
      <c r="F10" s="3"/>
      <c r="G10" s="3">
        <v>9002090005</v>
      </c>
      <c r="H10" s="7"/>
      <c r="I10" s="18">
        <f t="shared" si="0"/>
        <v>300</v>
      </c>
      <c r="J10" s="18">
        <f t="shared" si="1"/>
        <v>3000</v>
      </c>
    </row>
    <row r="11" spans="1:11" x14ac:dyDescent="0.45">
      <c r="A11" s="3" t="s">
        <v>46</v>
      </c>
      <c r="B11" s="3" t="s">
        <v>10</v>
      </c>
      <c r="C11" s="4">
        <v>400</v>
      </c>
      <c r="D11" s="26"/>
      <c r="E11" s="3"/>
      <c r="F11" s="3"/>
      <c r="G11" s="3">
        <v>9002090001</v>
      </c>
      <c r="H11" s="7"/>
      <c r="I11" s="18">
        <f t="shared" si="0"/>
        <v>333.33333333333337</v>
      </c>
      <c r="J11" s="18">
        <f t="shared" si="1"/>
        <v>3333.3333333333339</v>
      </c>
    </row>
    <row r="12" spans="1:11" x14ac:dyDescent="0.45">
      <c r="A12" s="3" t="s">
        <v>45</v>
      </c>
      <c r="B12" s="3" t="s">
        <v>10</v>
      </c>
      <c r="C12" s="4">
        <v>720</v>
      </c>
      <c r="D12" s="26"/>
      <c r="E12" s="3"/>
      <c r="F12" s="3"/>
      <c r="G12" s="3">
        <v>9002090002</v>
      </c>
      <c r="H12" s="7"/>
      <c r="I12" s="18">
        <f t="shared" si="0"/>
        <v>600</v>
      </c>
      <c r="J12" s="18">
        <f t="shared" si="1"/>
        <v>6000</v>
      </c>
    </row>
    <row r="13" spans="1:11" x14ac:dyDescent="0.45">
      <c r="A13" s="3" t="s">
        <v>47</v>
      </c>
      <c r="B13" s="3" t="s">
        <v>11</v>
      </c>
      <c r="C13" s="4">
        <v>660</v>
      </c>
      <c r="D13" s="26"/>
      <c r="E13" s="3"/>
      <c r="F13" s="3" t="s">
        <v>271</v>
      </c>
      <c r="G13" s="3">
        <v>9002020003</v>
      </c>
      <c r="H13" s="7"/>
      <c r="I13" s="18">
        <f t="shared" si="0"/>
        <v>550</v>
      </c>
      <c r="J13" s="18">
        <f t="shared" si="1"/>
        <v>5500</v>
      </c>
    </row>
    <row r="14" spans="1:11" x14ac:dyDescent="0.45">
      <c r="A14" s="12" t="s">
        <v>48</v>
      </c>
      <c r="B14" s="12" t="s">
        <v>11</v>
      </c>
      <c r="C14" s="13">
        <v>890</v>
      </c>
      <c r="D14" s="27"/>
      <c r="E14" s="12"/>
      <c r="F14" s="12" t="s">
        <v>272</v>
      </c>
      <c r="G14" s="3">
        <v>9002020005</v>
      </c>
      <c r="H14" s="7"/>
      <c r="I14" s="18">
        <f t="shared" si="0"/>
        <v>741.66666666666674</v>
      </c>
      <c r="J14" s="18">
        <f t="shared" si="1"/>
        <v>7416.6666666666679</v>
      </c>
    </row>
    <row r="15" spans="1:11" x14ac:dyDescent="0.45">
      <c r="A15" s="34" t="s">
        <v>233</v>
      </c>
      <c r="B15" s="34"/>
      <c r="C15" s="34"/>
      <c r="D15" s="34"/>
      <c r="E15" s="34"/>
      <c r="F15" s="34"/>
      <c r="G15" s="34"/>
      <c r="H15" s="34"/>
      <c r="I15" s="18"/>
      <c r="J15" s="18"/>
    </row>
    <row r="16" spans="1:11" x14ac:dyDescent="0.45">
      <c r="A16" s="3" t="s">
        <v>0</v>
      </c>
      <c r="B16" s="3" t="s">
        <v>1</v>
      </c>
      <c r="C16" s="4" t="s">
        <v>2</v>
      </c>
      <c r="D16" s="26"/>
      <c r="E16" s="3" t="s">
        <v>26</v>
      </c>
      <c r="F16" s="3" t="s">
        <v>190</v>
      </c>
      <c r="G16" s="6" t="s">
        <v>269</v>
      </c>
      <c r="H16" s="7"/>
      <c r="I16" s="18" t="s">
        <v>2</v>
      </c>
      <c r="J16" s="18"/>
    </row>
    <row r="17" spans="1:10" x14ac:dyDescent="0.45">
      <c r="A17" s="3" t="s">
        <v>350</v>
      </c>
      <c r="B17" s="3" t="s">
        <v>18</v>
      </c>
      <c r="C17" s="4">
        <v>3600</v>
      </c>
      <c r="D17" s="26">
        <v>44247</v>
      </c>
      <c r="E17" s="3" t="s">
        <v>281</v>
      </c>
      <c r="F17" s="3" t="s">
        <v>348</v>
      </c>
      <c r="G17" s="6">
        <v>12004050004</v>
      </c>
      <c r="H17" s="7"/>
      <c r="I17" s="18">
        <f t="shared" ref="I17:I30" si="2">C17/(1+$K$6)</f>
        <v>3000</v>
      </c>
      <c r="J17" s="18">
        <f t="shared" si="1"/>
        <v>30000</v>
      </c>
    </row>
    <row r="18" spans="1:10" x14ac:dyDescent="0.45">
      <c r="A18" s="3" t="s">
        <v>351</v>
      </c>
      <c r="B18" s="3" t="s">
        <v>18</v>
      </c>
      <c r="C18" s="4">
        <v>3500</v>
      </c>
      <c r="D18" s="26"/>
      <c r="E18" s="3" t="s">
        <v>212</v>
      </c>
      <c r="F18" s="3"/>
      <c r="G18" s="3"/>
      <c r="H18" s="7"/>
      <c r="I18" s="18">
        <f t="shared" si="2"/>
        <v>2916.666666666667</v>
      </c>
      <c r="J18" s="18">
        <f t="shared" si="1"/>
        <v>29166.666666666672</v>
      </c>
    </row>
    <row r="19" spans="1:10" x14ac:dyDescent="0.45">
      <c r="A19" s="3" t="s">
        <v>352</v>
      </c>
      <c r="B19" s="3" t="s">
        <v>19</v>
      </c>
      <c r="C19" s="4">
        <v>5800</v>
      </c>
      <c r="D19" s="26"/>
      <c r="E19" s="3"/>
      <c r="F19" s="3"/>
      <c r="G19" s="3"/>
      <c r="H19" s="7"/>
      <c r="I19" s="18">
        <f t="shared" si="2"/>
        <v>4833.3333333333339</v>
      </c>
      <c r="J19" s="18">
        <f t="shared" si="1"/>
        <v>48333.333333333343</v>
      </c>
    </row>
    <row r="20" spans="1:10" x14ac:dyDescent="0.45">
      <c r="A20" s="3" t="s">
        <v>349</v>
      </c>
      <c r="B20" s="3" t="s">
        <v>20</v>
      </c>
      <c r="C20" s="4">
        <v>3500</v>
      </c>
      <c r="D20" s="26"/>
      <c r="E20" s="3"/>
      <c r="F20" s="3"/>
      <c r="G20" s="3"/>
      <c r="H20" s="7"/>
      <c r="I20" s="18">
        <f t="shared" si="2"/>
        <v>2916.666666666667</v>
      </c>
      <c r="J20" s="18">
        <f t="shared" si="1"/>
        <v>29166.666666666672</v>
      </c>
    </row>
    <row r="21" spans="1:10" x14ac:dyDescent="0.45">
      <c r="A21" s="3" t="s">
        <v>349</v>
      </c>
      <c r="B21" s="3" t="s">
        <v>20</v>
      </c>
      <c r="C21" s="4">
        <v>3800</v>
      </c>
      <c r="D21" s="26"/>
      <c r="E21" s="3"/>
      <c r="F21" s="3"/>
      <c r="G21" s="3"/>
      <c r="H21" s="7"/>
      <c r="I21" s="18">
        <f t="shared" si="2"/>
        <v>3166.666666666667</v>
      </c>
      <c r="J21" s="18">
        <f t="shared" si="1"/>
        <v>31666.666666666672</v>
      </c>
    </row>
    <row r="22" spans="1:10" x14ac:dyDescent="0.45">
      <c r="A22" s="3" t="s">
        <v>353</v>
      </c>
      <c r="B22" s="3" t="s">
        <v>354</v>
      </c>
      <c r="C22" s="4">
        <v>3300</v>
      </c>
      <c r="D22" s="26">
        <v>44247</v>
      </c>
      <c r="E22" s="3"/>
      <c r="F22" s="3" t="s">
        <v>358</v>
      </c>
      <c r="G22" s="3"/>
      <c r="H22" s="7"/>
      <c r="I22" s="18">
        <f t="shared" si="2"/>
        <v>2750</v>
      </c>
      <c r="J22" s="18">
        <f t="shared" si="1"/>
        <v>27500</v>
      </c>
    </row>
    <row r="23" spans="1:10" x14ac:dyDescent="0.45">
      <c r="A23" s="3" t="s">
        <v>353</v>
      </c>
      <c r="B23" s="3" t="s">
        <v>355</v>
      </c>
      <c r="C23" s="4">
        <v>2960</v>
      </c>
      <c r="D23" s="26">
        <v>44247</v>
      </c>
      <c r="E23" s="3"/>
      <c r="F23" s="3" t="s">
        <v>359</v>
      </c>
      <c r="G23" s="3"/>
      <c r="H23" s="7"/>
      <c r="I23" s="18">
        <f t="shared" si="2"/>
        <v>2466.666666666667</v>
      </c>
      <c r="J23" s="18">
        <f t="shared" si="1"/>
        <v>24666.666666666672</v>
      </c>
    </row>
    <row r="24" spans="1:10" x14ac:dyDescent="0.45">
      <c r="A24" s="3" t="s">
        <v>357</v>
      </c>
      <c r="B24" s="3" t="s">
        <v>355</v>
      </c>
      <c r="C24" s="4">
        <v>2790</v>
      </c>
      <c r="D24" s="26">
        <v>44247</v>
      </c>
      <c r="E24" s="3"/>
      <c r="F24" s="3" t="s">
        <v>360</v>
      </c>
      <c r="G24" s="3"/>
      <c r="H24" s="7"/>
      <c r="I24" s="18">
        <f t="shared" si="2"/>
        <v>2325</v>
      </c>
      <c r="J24" s="18">
        <f t="shared" si="1"/>
        <v>23250</v>
      </c>
    </row>
    <row r="25" spans="1:10" x14ac:dyDescent="0.45">
      <c r="A25" s="3" t="s">
        <v>356</v>
      </c>
      <c r="B25" s="3" t="s">
        <v>355</v>
      </c>
      <c r="C25" s="4">
        <v>2630</v>
      </c>
      <c r="D25" s="26">
        <v>44247</v>
      </c>
      <c r="E25" s="3"/>
      <c r="F25" s="3" t="s">
        <v>361</v>
      </c>
      <c r="G25" s="3"/>
      <c r="H25" s="7"/>
      <c r="I25" s="18">
        <f t="shared" si="2"/>
        <v>2191.666666666667</v>
      </c>
      <c r="J25" s="18">
        <f t="shared" si="1"/>
        <v>21916.666666666672</v>
      </c>
    </row>
    <row r="26" spans="1:10" x14ac:dyDescent="0.45">
      <c r="A26" s="3" t="s">
        <v>6</v>
      </c>
      <c r="B26" s="3" t="s">
        <v>41</v>
      </c>
      <c r="C26" s="4">
        <v>200</v>
      </c>
      <c r="D26" s="26"/>
      <c r="E26" s="3"/>
      <c r="F26" s="3" t="s">
        <v>264</v>
      </c>
      <c r="G26" s="3"/>
      <c r="H26" s="7"/>
      <c r="I26" s="18">
        <f t="shared" si="2"/>
        <v>166.66666666666669</v>
      </c>
      <c r="J26" s="18">
        <f t="shared" si="1"/>
        <v>1666.666666666667</v>
      </c>
    </row>
    <row r="27" spans="1:10" x14ac:dyDescent="0.45">
      <c r="A27" s="3" t="s">
        <v>266</v>
      </c>
      <c r="B27" s="3" t="s">
        <v>41</v>
      </c>
      <c r="C27" s="4">
        <v>250</v>
      </c>
      <c r="D27" s="26"/>
      <c r="E27" s="3"/>
      <c r="F27" s="3" t="s">
        <v>265</v>
      </c>
      <c r="G27" s="3"/>
      <c r="H27" s="7"/>
      <c r="I27" s="18">
        <f t="shared" si="2"/>
        <v>208.33333333333334</v>
      </c>
      <c r="J27" s="18">
        <f t="shared" si="1"/>
        <v>2083.3333333333335</v>
      </c>
    </row>
    <row r="28" spans="1:10" x14ac:dyDescent="0.45">
      <c r="A28" s="3" t="s">
        <v>7</v>
      </c>
      <c r="B28" s="3" t="s">
        <v>9</v>
      </c>
      <c r="C28" s="4">
        <v>300</v>
      </c>
      <c r="D28" s="26"/>
      <c r="E28" s="3"/>
      <c r="F28" s="3" t="s">
        <v>267</v>
      </c>
      <c r="G28" s="3">
        <v>7001010022</v>
      </c>
      <c r="H28" s="7"/>
      <c r="I28" s="18">
        <f t="shared" si="2"/>
        <v>250</v>
      </c>
      <c r="J28" s="18">
        <f t="shared" si="1"/>
        <v>2500</v>
      </c>
    </row>
    <row r="29" spans="1:10" x14ac:dyDescent="0.45">
      <c r="A29" s="3" t="s">
        <v>6</v>
      </c>
      <c r="B29" s="3" t="s">
        <v>9</v>
      </c>
      <c r="C29" s="4">
        <v>300</v>
      </c>
      <c r="D29" s="26"/>
      <c r="E29" s="3"/>
      <c r="F29" s="3" t="s">
        <v>268</v>
      </c>
      <c r="G29" s="3">
        <v>7001010023</v>
      </c>
      <c r="H29" s="7"/>
      <c r="I29" s="18">
        <f t="shared" si="2"/>
        <v>250</v>
      </c>
      <c r="J29" s="18">
        <f t="shared" si="1"/>
        <v>2500</v>
      </c>
    </row>
    <row r="30" spans="1:10" x14ac:dyDescent="0.45">
      <c r="A30" s="3" t="s">
        <v>266</v>
      </c>
      <c r="B30" s="3" t="s">
        <v>9</v>
      </c>
      <c r="C30" s="4">
        <v>350</v>
      </c>
      <c r="D30" s="26"/>
      <c r="E30" s="3"/>
      <c r="F30" s="8"/>
      <c r="G30" s="3">
        <v>7001010028</v>
      </c>
      <c r="H30" s="7"/>
      <c r="I30" s="18">
        <f t="shared" si="2"/>
        <v>291.66666666666669</v>
      </c>
      <c r="J30" s="18">
        <f t="shared" si="1"/>
        <v>2916.666666666667</v>
      </c>
    </row>
    <row r="31" spans="1:10" x14ac:dyDescent="0.45">
      <c r="A31" s="34" t="s">
        <v>247</v>
      </c>
      <c r="B31" s="34"/>
      <c r="C31" s="34"/>
      <c r="D31" s="34"/>
      <c r="E31" s="34"/>
      <c r="F31" s="34"/>
      <c r="G31" s="34"/>
      <c r="H31" s="34"/>
      <c r="I31" s="18"/>
      <c r="J31" s="18"/>
    </row>
    <row r="32" spans="1:10" x14ac:dyDescent="0.45">
      <c r="A32" s="10" t="s">
        <v>0</v>
      </c>
      <c r="B32" s="10" t="s">
        <v>1</v>
      </c>
      <c r="C32" s="11" t="s">
        <v>2</v>
      </c>
      <c r="D32" s="25"/>
      <c r="E32" s="10" t="s">
        <v>26</v>
      </c>
      <c r="F32" s="10" t="s">
        <v>190</v>
      </c>
      <c r="G32" s="10" t="s">
        <v>269</v>
      </c>
      <c r="H32" s="14" t="s">
        <v>273</v>
      </c>
      <c r="I32" s="18" t="s">
        <v>2</v>
      </c>
      <c r="J32" s="18"/>
    </row>
    <row r="33" spans="1:10" x14ac:dyDescent="0.45">
      <c r="A33" s="3" t="s">
        <v>35</v>
      </c>
      <c r="B33" s="3" t="s">
        <v>8</v>
      </c>
      <c r="C33" s="4">
        <v>350</v>
      </c>
      <c r="D33" s="26"/>
      <c r="E33" s="3"/>
      <c r="F33" s="3" t="s">
        <v>258</v>
      </c>
      <c r="G33" s="3"/>
      <c r="H33" s="7"/>
      <c r="I33" s="18">
        <f t="shared" ref="I33:I79" si="3">C33/(1+$K$6)</f>
        <v>291.66666666666669</v>
      </c>
      <c r="J33" s="18">
        <f t="shared" si="1"/>
        <v>2916.666666666667</v>
      </c>
    </row>
    <row r="34" spans="1:10" x14ac:dyDescent="0.45">
      <c r="A34" s="3" t="s">
        <v>35</v>
      </c>
      <c r="B34" s="3" t="s">
        <v>51</v>
      </c>
      <c r="C34" s="4">
        <v>380</v>
      </c>
      <c r="D34" s="26"/>
      <c r="E34" s="3"/>
      <c r="F34" s="3"/>
      <c r="G34" s="3"/>
      <c r="H34" s="7"/>
      <c r="I34" s="18">
        <f t="shared" si="3"/>
        <v>316.66666666666669</v>
      </c>
      <c r="J34" s="18">
        <f t="shared" si="1"/>
        <v>3166.666666666667</v>
      </c>
    </row>
    <row r="35" spans="1:10" x14ac:dyDescent="0.45">
      <c r="A35" s="3" t="s">
        <v>34</v>
      </c>
      <c r="B35" s="3" t="s">
        <v>8</v>
      </c>
      <c r="C35" s="4">
        <v>400</v>
      </c>
      <c r="D35" s="26">
        <v>44247</v>
      </c>
      <c r="E35" s="3"/>
      <c r="F35" s="3" t="s">
        <v>225</v>
      </c>
      <c r="G35" s="3"/>
      <c r="H35" s="7"/>
      <c r="I35" s="18">
        <f t="shared" si="3"/>
        <v>333.33333333333337</v>
      </c>
      <c r="J35" s="18">
        <f t="shared" si="1"/>
        <v>3333.3333333333339</v>
      </c>
    </row>
    <row r="36" spans="1:10" x14ac:dyDescent="0.45">
      <c r="A36" s="3" t="s">
        <v>52</v>
      </c>
      <c r="B36" s="3" t="s">
        <v>274</v>
      </c>
      <c r="C36" s="4">
        <v>350</v>
      </c>
      <c r="D36" s="26"/>
      <c r="E36" s="3"/>
      <c r="F36" s="3"/>
      <c r="G36" s="3"/>
      <c r="H36" s="7"/>
      <c r="I36" s="18">
        <f t="shared" si="3"/>
        <v>291.66666666666669</v>
      </c>
      <c r="J36" s="18">
        <f t="shared" si="1"/>
        <v>2916.666666666667</v>
      </c>
    </row>
    <row r="37" spans="1:10" x14ac:dyDescent="0.45">
      <c r="A37" s="3" t="s">
        <v>33</v>
      </c>
      <c r="B37" s="3" t="s">
        <v>8</v>
      </c>
      <c r="C37" s="4">
        <v>400</v>
      </c>
      <c r="D37" s="26"/>
      <c r="E37" s="3"/>
      <c r="F37" s="3"/>
      <c r="G37" s="3"/>
      <c r="H37" s="7"/>
      <c r="I37" s="18">
        <f t="shared" si="3"/>
        <v>333.33333333333337</v>
      </c>
      <c r="J37" s="18">
        <f t="shared" si="1"/>
        <v>3333.3333333333339</v>
      </c>
    </row>
    <row r="38" spans="1:10" x14ac:dyDescent="0.45">
      <c r="A38" s="3" t="s">
        <v>3</v>
      </c>
      <c r="B38" s="3" t="s">
        <v>8</v>
      </c>
      <c r="C38" s="4">
        <v>350</v>
      </c>
      <c r="D38" s="26"/>
      <c r="E38" s="3"/>
      <c r="F38" s="3"/>
      <c r="G38" s="3"/>
      <c r="H38" s="7"/>
      <c r="I38" s="18">
        <f t="shared" si="3"/>
        <v>291.66666666666669</v>
      </c>
      <c r="J38" s="18">
        <f t="shared" si="1"/>
        <v>2916.666666666667</v>
      </c>
    </row>
    <row r="39" spans="1:10" x14ac:dyDescent="0.45">
      <c r="A39" s="3" t="s">
        <v>32</v>
      </c>
      <c r="B39" s="3" t="s">
        <v>8</v>
      </c>
      <c r="C39" s="4">
        <v>400</v>
      </c>
      <c r="D39" s="26"/>
      <c r="E39" s="3"/>
      <c r="F39" s="3"/>
      <c r="G39" s="3"/>
      <c r="H39" s="7"/>
      <c r="I39" s="18">
        <f t="shared" si="3"/>
        <v>333.33333333333337</v>
      </c>
      <c r="J39" s="18">
        <f t="shared" si="1"/>
        <v>3333.3333333333339</v>
      </c>
    </row>
    <row r="40" spans="1:10" x14ac:dyDescent="0.45">
      <c r="A40" s="3" t="s">
        <v>231</v>
      </c>
      <c r="B40" s="3" t="s">
        <v>12</v>
      </c>
      <c r="C40" s="4">
        <v>400</v>
      </c>
      <c r="D40" s="26"/>
      <c r="E40" s="3"/>
      <c r="F40" s="3"/>
      <c r="G40" s="3"/>
      <c r="H40" s="7"/>
      <c r="I40" s="18">
        <f t="shared" si="3"/>
        <v>333.33333333333337</v>
      </c>
      <c r="J40" s="18">
        <f t="shared" si="1"/>
        <v>3333.3333333333339</v>
      </c>
    </row>
    <row r="41" spans="1:10" x14ac:dyDescent="0.45">
      <c r="A41" s="3" t="s">
        <v>53</v>
      </c>
      <c r="B41" s="3" t="s">
        <v>12</v>
      </c>
      <c r="C41" s="4">
        <v>500</v>
      </c>
      <c r="D41" s="26"/>
      <c r="E41" s="3"/>
      <c r="F41" s="3"/>
      <c r="G41" s="3"/>
      <c r="H41" s="7"/>
      <c r="I41" s="18">
        <f t="shared" si="3"/>
        <v>416.66666666666669</v>
      </c>
      <c r="J41" s="18">
        <f t="shared" si="1"/>
        <v>4166.666666666667</v>
      </c>
    </row>
    <row r="42" spans="1:10" x14ac:dyDescent="0.45">
      <c r="A42" s="3" t="s">
        <v>54</v>
      </c>
      <c r="B42" s="3" t="s">
        <v>274</v>
      </c>
      <c r="C42" s="4">
        <v>350</v>
      </c>
      <c r="D42" s="26"/>
      <c r="E42" s="3" t="s">
        <v>275</v>
      </c>
      <c r="F42" s="3"/>
      <c r="G42" s="3">
        <v>2001020046</v>
      </c>
      <c r="H42" s="7"/>
      <c r="I42" s="18">
        <f t="shared" si="3"/>
        <v>291.66666666666669</v>
      </c>
      <c r="J42" s="18">
        <f t="shared" si="1"/>
        <v>2916.666666666667</v>
      </c>
    </row>
    <row r="43" spans="1:10" x14ac:dyDescent="0.45">
      <c r="A43" s="3" t="s">
        <v>55</v>
      </c>
      <c r="B43" s="3" t="s">
        <v>274</v>
      </c>
      <c r="C43" s="4">
        <v>400</v>
      </c>
      <c r="D43" s="26"/>
      <c r="E43" s="3" t="s">
        <v>276</v>
      </c>
      <c r="F43" s="3"/>
      <c r="G43" s="3">
        <v>2001020029</v>
      </c>
      <c r="H43" s="7"/>
      <c r="I43" s="18">
        <f t="shared" si="3"/>
        <v>333.33333333333337</v>
      </c>
      <c r="J43" s="18">
        <f t="shared" si="1"/>
        <v>3333.3333333333339</v>
      </c>
    </row>
    <row r="44" spans="1:10" x14ac:dyDescent="0.45">
      <c r="A44" s="3" t="s">
        <v>54</v>
      </c>
      <c r="B44" s="3" t="s">
        <v>8</v>
      </c>
      <c r="C44" s="4">
        <v>380</v>
      </c>
      <c r="D44" s="26"/>
      <c r="E44" s="3"/>
      <c r="F44" s="3"/>
      <c r="G44" s="3"/>
      <c r="H44" s="7"/>
      <c r="I44" s="18">
        <f t="shared" si="3"/>
        <v>316.66666666666669</v>
      </c>
      <c r="J44" s="18">
        <f t="shared" si="1"/>
        <v>3166.666666666667</v>
      </c>
    </row>
    <row r="45" spans="1:10" x14ac:dyDescent="0.45">
      <c r="A45" s="3" t="s">
        <v>55</v>
      </c>
      <c r="B45" s="3" t="s">
        <v>8</v>
      </c>
      <c r="C45" s="4">
        <v>380</v>
      </c>
      <c r="D45" s="26"/>
      <c r="E45" s="3"/>
      <c r="F45" s="3"/>
      <c r="G45" s="3"/>
      <c r="H45" s="7"/>
      <c r="I45" s="18">
        <f t="shared" si="3"/>
        <v>316.66666666666669</v>
      </c>
      <c r="J45" s="18">
        <f t="shared" si="1"/>
        <v>3166.666666666667</v>
      </c>
    </row>
    <row r="46" spans="1:10" x14ac:dyDescent="0.45">
      <c r="A46" s="3" t="s">
        <v>56</v>
      </c>
      <c r="B46" s="3" t="s">
        <v>8</v>
      </c>
      <c r="C46" s="4">
        <v>400</v>
      </c>
      <c r="D46" s="26"/>
      <c r="E46" s="3"/>
      <c r="F46" s="3"/>
      <c r="G46" s="3"/>
      <c r="H46" s="7"/>
      <c r="I46" s="18">
        <f t="shared" si="3"/>
        <v>333.33333333333337</v>
      </c>
      <c r="J46" s="18">
        <f t="shared" si="1"/>
        <v>3333.3333333333339</v>
      </c>
    </row>
    <row r="47" spans="1:10" x14ac:dyDescent="0.45">
      <c r="A47" s="3" t="s">
        <v>57</v>
      </c>
      <c r="B47" s="3" t="s">
        <v>12</v>
      </c>
      <c r="C47" s="4">
        <v>450</v>
      </c>
      <c r="D47" s="26"/>
      <c r="E47" s="3"/>
      <c r="F47" s="3"/>
      <c r="G47" s="3"/>
      <c r="H47" s="7"/>
      <c r="I47" s="18">
        <f t="shared" si="3"/>
        <v>375</v>
      </c>
      <c r="J47" s="18">
        <f t="shared" si="1"/>
        <v>3750</v>
      </c>
    </row>
    <row r="48" spans="1:10" x14ac:dyDescent="0.45">
      <c r="A48" s="3" t="s">
        <v>31</v>
      </c>
      <c r="B48" s="3" t="s">
        <v>8</v>
      </c>
      <c r="C48" s="4"/>
      <c r="D48" s="26"/>
      <c r="E48" s="3"/>
      <c r="F48" s="3"/>
      <c r="G48" s="3"/>
      <c r="H48" s="7"/>
      <c r="I48" s="18">
        <f t="shared" si="3"/>
        <v>0</v>
      </c>
      <c r="J48" s="18">
        <f t="shared" si="1"/>
        <v>0</v>
      </c>
    </row>
    <row r="49" spans="1:10" x14ac:dyDescent="0.45">
      <c r="A49" s="3" t="s">
        <v>221</v>
      </c>
      <c r="B49" s="3" t="s">
        <v>12</v>
      </c>
      <c r="C49" s="4">
        <v>4500</v>
      </c>
      <c r="D49" s="26"/>
      <c r="E49" s="3" t="s">
        <v>222</v>
      </c>
      <c r="F49" s="3"/>
      <c r="G49" s="3"/>
      <c r="H49" s="7"/>
      <c r="I49" s="18">
        <f t="shared" si="3"/>
        <v>3750</v>
      </c>
      <c r="J49" s="18">
        <f t="shared" si="1"/>
        <v>37500</v>
      </c>
    </row>
    <row r="50" spans="1:10" x14ac:dyDescent="0.45">
      <c r="A50" s="3" t="s">
        <v>77</v>
      </c>
      <c r="B50" s="3" t="s">
        <v>76</v>
      </c>
      <c r="C50" s="4">
        <v>3600</v>
      </c>
      <c r="D50" s="26"/>
      <c r="E50" s="3" t="s">
        <v>78</v>
      </c>
      <c r="F50" s="3"/>
      <c r="G50" s="3"/>
      <c r="H50" s="7"/>
      <c r="I50" s="18">
        <f t="shared" si="3"/>
        <v>3000</v>
      </c>
      <c r="J50" s="18">
        <f t="shared" si="1"/>
        <v>30000</v>
      </c>
    </row>
    <row r="51" spans="1:10" x14ac:dyDescent="0.45">
      <c r="A51" s="3" t="s">
        <v>226</v>
      </c>
      <c r="B51" s="3" t="s">
        <v>8</v>
      </c>
      <c r="C51" s="4">
        <v>2000</v>
      </c>
      <c r="D51" s="26"/>
      <c r="E51" s="3" t="s">
        <v>67</v>
      </c>
      <c r="F51" s="3" t="s">
        <v>227</v>
      </c>
      <c r="G51" s="3"/>
      <c r="H51" s="7"/>
      <c r="I51" s="18">
        <f t="shared" si="3"/>
        <v>1666.6666666666667</v>
      </c>
      <c r="J51" s="18">
        <f t="shared" si="1"/>
        <v>16666.666666666668</v>
      </c>
    </row>
    <row r="52" spans="1:10" x14ac:dyDescent="0.45">
      <c r="A52" s="3" t="s">
        <v>218</v>
      </c>
      <c r="B52" s="3" t="s">
        <v>8</v>
      </c>
      <c r="C52" s="4">
        <v>2500</v>
      </c>
      <c r="D52" s="26"/>
      <c r="E52" s="3" t="s">
        <v>67</v>
      </c>
      <c r="F52" s="3" t="s">
        <v>284</v>
      </c>
      <c r="G52" s="3"/>
      <c r="H52" s="7"/>
      <c r="I52" s="18">
        <f t="shared" si="3"/>
        <v>2083.3333333333335</v>
      </c>
      <c r="J52" s="18">
        <f t="shared" si="1"/>
        <v>20833.333333333336</v>
      </c>
    </row>
    <row r="53" spans="1:10" x14ac:dyDescent="0.45">
      <c r="A53" s="3" t="s">
        <v>38</v>
      </c>
      <c r="B53" s="3" t="s">
        <v>8</v>
      </c>
      <c r="C53" s="4">
        <v>2650</v>
      </c>
      <c r="D53" s="26"/>
      <c r="E53" s="3" t="s">
        <v>67</v>
      </c>
      <c r="F53" s="3" t="s">
        <v>285</v>
      </c>
      <c r="G53" s="3"/>
      <c r="H53" s="7"/>
      <c r="I53" s="18">
        <f t="shared" si="3"/>
        <v>2208.3333333333335</v>
      </c>
      <c r="J53" s="18">
        <f t="shared" si="1"/>
        <v>22083.333333333336</v>
      </c>
    </row>
    <row r="54" spans="1:10" x14ac:dyDescent="0.45">
      <c r="A54" s="3" t="s">
        <v>38</v>
      </c>
      <c r="B54" s="3" t="s">
        <v>76</v>
      </c>
      <c r="C54" s="4">
        <v>3000</v>
      </c>
      <c r="D54" s="26"/>
      <c r="E54" s="3" t="s">
        <v>67</v>
      </c>
      <c r="F54" s="3"/>
      <c r="G54" s="3"/>
      <c r="H54" s="7"/>
      <c r="I54" s="18">
        <f t="shared" si="3"/>
        <v>2500</v>
      </c>
      <c r="J54" s="18">
        <f t="shared" si="1"/>
        <v>25000</v>
      </c>
    </row>
    <row r="55" spans="1:10" x14ac:dyDescent="0.45">
      <c r="A55" s="3" t="s">
        <v>38</v>
      </c>
      <c r="B55" s="3" t="s">
        <v>12</v>
      </c>
      <c r="C55" s="4">
        <v>2800</v>
      </c>
      <c r="D55" s="26"/>
      <c r="E55" s="3" t="s">
        <v>67</v>
      </c>
      <c r="F55" s="3"/>
      <c r="G55" s="3">
        <v>1001150024</v>
      </c>
      <c r="H55" s="7"/>
      <c r="I55" s="18">
        <f t="shared" si="3"/>
        <v>2333.3333333333335</v>
      </c>
      <c r="J55" s="18">
        <f t="shared" si="1"/>
        <v>23333.333333333336</v>
      </c>
    </row>
    <row r="56" spans="1:10" x14ac:dyDescent="0.45">
      <c r="A56" s="3" t="s">
        <v>219</v>
      </c>
      <c r="B56" s="3" t="s">
        <v>76</v>
      </c>
      <c r="C56" s="4">
        <v>1900</v>
      </c>
      <c r="D56" s="26"/>
      <c r="E56" s="3" t="s">
        <v>220</v>
      </c>
      <c r="F56" s="3"/>
      <c r="G56" s="3"/>
      <c r="H56" s="7"/>
      <c r="I56" s="18">
        <f t="shared" si="3"/>
        <v>1583.3333333333335</v>
      </c>
      <c r="J56" s="18">
        <f t="shared" si="1"/>
        <v>15833.333333333336</v>
      </c>
    </row>
    <row r="57" spans="1:10" x14ac:dyDescent="0.45">
      <c r="A57" s="3" t="s">
        <v>36</v>
      </c>
      <c r="B57" s="3" t="s">
        <v>8</v>
      </c>
      <c r="C57" s="4">
        <v>2100</v>
      </c>
      <c r="D57" s="26"/>
      <c r="E57" s="3" t="s">
        <v>68</v>
      </c>
      <c r="F57" s="3" t="s">
        <v>286</v>
      </c>
      <c r="G57" s="3"/>
      <c r="H57" s="7"/>
      <c r="I57" s="18">
        <f t="shared" si="3"/>
        <v>1750</v>
      </c>
      <c r="J57" s="18">
        <f t="shared" si="1"/>
        <v>17500</v>
      </c>
    </row>
    <row r="58" spans="1:10" x14ac:dyDescent="0.45">
      <c r="A58" s="3" t="s">
        <v>36</v>
      </c>
      <c r="B58" s="3" t="s">
        <v>12</v>
      </c>
      <c r="C58" s="4">
        <v>2500</v>
      </c>
      <c r="D58" s="26"/>
      <c r="E58" s="3" t="s">
        <v>68</v>
      </c>
      <c r="F58" s="3"/>
      <c r="G58" s="3"/>
      <c r="H58" s="7"/>
      <c r="I58" s="18">
        <f t="shared" si="3"/>
        <v>2083.3333333333335</v>
      </c>
      <c r="J58" s="18">
        <f t="shared" si="1"/>
        <v>20833.333333333336</v>
      </c>
    </row>
    <row r="59" spans="1:10" x14ac:dyDescent="0.45">
      <c r="A59" s="3" t="s">
        <v>37</v>
      </c>
      <c r="B59" s="3" t="s">
        <v>8</v>
      </c>
      <c r="C59" s="4">
        <v>3000</v>
      </c>
      <c r="D59" s="26"/>
      <c r="E59" s="3" t="s">
        <v>69</v>
      </c>
      <c r="F59" s="3" t="s">
        <v>287</v>
      </c>
      <c r="G59" s="3"/>
      <c r="H59" s="7"/>
      <c r="I59" s="18">
        <f t="shared" si="3"/>
        <v>2500</v>
      </c>
      <c r="J59" s="18">
        <f t="shared" si="1"/>
        <v>25000</v>
      </c>
    </row>
    <row r="60" spans="1:10" x14ac:dyDescent="0.45">
      <c r="A60" s="3" t="s">
        <v>37</v>
      </c>
      <c r="B60" s="3" t="s">
        <v>76</v>
      </c>
      <c r="C60" s="4"/>
      <c r="D60" s="26"/>
      <c r="E60" s="3" t="s">
        <v>69</v>
      </c>
      <c r="F60" s="3"/>
      <c r="G60" s="3"/>
      <c r="H60" s="7"/>
      <c r="I60" s="18">
        <f t="shared" si="3"/>
        <v>0</v>
      </c>
      <c r="J60" s="18">
        <f t="shared" si="1"/>
        <v>0</v>
      </c>
    </row>
    <row r="61" spans="1:10" x14ac:dyDescent="0.45">
      <c r="A61" s="3" t="s">
        <v>37</v>
      </c>
      <c r="B61" s="3" t="s">
        <v>12</v>
      </c>
      <c r="C61" s="4">
        <v>3200</v>
      </c>
      <c r="D61" s="26"/>
      <c r="E61" s="3" t="s">
        <v>69</v>
      </c>
      <c r="F61" s="3"/>
      <c r="G61" s="3"/>
      <c r="H61" s="7"/>
      <c r="I61" s="18">
        <f t="shared" si="3"/>
        <v>2666.666666666667</v>
      </c>
      <c r="J61" s="18">
        <f t="shared" si="1"/>
        <v>26666.666666666672</v>
      </c>
    </row>
    <row r="62" spans="1:10" x14ac:dyDescent="0.45">
      <c r="A62" s="3" t="s">
        <v>262</v>
      </c>
      <c r="B62" s="3" t="s">
        <v>76</v>
      </c>
      <c r="C62" s="4">
        <v>5000</v>
      </c>
      <c r="D62" s="26"/>
      <c r="E62" s="3" t="s">
        <v>263</v>
      </c>
      <c r="F62" s="3"/>
      <c r="G62" s="3"/>
      <c r="H62" s="7"/>
      <c r="I62" s="18">
        <f t="shared" si="3"/>
        <v>4166.666666666667</v>
      </c>
      <c r="J62" s="18">
        <f t="shared" si="1"/>
        <v>41666.666666666672</v>
      </c>
    </row>
    <row r="63" spans="1:10" x14ac:dyDescent="0.45">
      <c r="A63" s="3" t="s">
        <v>63</v>
      </c>
      <c r="B63" s="3" t="s">
        <v>8</v>
      </c>
      <c r="C63" s="4">
        <v>3200</v>
      </c>
      <c r="D63" s="26"/>
      <c r="E63" s="3" t="s">
        <v>66</v>
      </c>
      <c r="F63" s="3" t="s">
        <v>224</v>
      </c>
      <c r="G63" s="3"/>
      <c r="H63" s="7"/>
      <c r="I63" s="18">
        <f t="shared" si="3"/>
        <v>2666.666666666667</v>
      </c>
      <c r="J63" s="18">
        <f t="shared" si="1"/>
        <v>26666.666666666672</v>
      </c>
    </row>
    <row r="64" spans="1:10" x14ac:dyDescent="0.45">
      <c r="A64" s="3" t="s">
        <v>64</v>
      </c>
      <c r="B64" s="3" t="s">
        <v>76</v>
      </c>
      <c r="C64" s="4">
        <v>3000</v>
      </c>
      <c r="D64" s="26"/>
      <c r="E64" s="3" t="s">
        <v>65</v>
      </c>
      <c r="F64" s="3"/>
      <c r="G64" s="3"/>
      <c r="H64" s="7"/>
      <c r="I64" s="18">
        <f t="shared" si="3"/>
        <v>2500</v>
      </c>
      <c r="J64" s="18">
        <f t="shared" si="1"/>
        <v>25000</v>
      </c>
    </row>
    <row r="65" spans="1:10" x14ac:dyDescent="0.45">
      <c r="A65" s="3" t="s">
        <v>63</v>
      </c>
      <c r="B65" s="3" t="s">
        <v>76</v>
      </c>
      <c r="C65" s="4">
        <v>4500</v>
      </c>
      <c r="D65" s="26"/>
      <c r="E65" s="3" t="s">
        <v>66</v>
      </c>
      <c r="F65" s="3"/>
      <c r="G65" s="3"/>
      <c r="H65" s="7"/>
      <c r="I65" s="18">
        <f t="shared" si="3"/>
        <v>3750</v>
      </c>
      <c r="J65" s="18">
        <f t="shared" si="1"/>
        <v>37500</v>
      </c>
    </row>
    <row r="66" spans="1:10" x14ac:dyDescent="0.45">
      <c r="A66" s="3" t="s">
        <v>4</v>
      </c>
      <c r="B66" s="3" t="s">
        <v>12</v>
      </c>
      <c r="C66" s="4"/>
      <c r="D66" s="26"/>
      <c r="E66" s="3"/>
      <c r="F66" s="3"/>
      <c r="G66" s="3"/>
      <c r="H66" s="7"/>
      <c r="I66" s="18">
        <f t="shared" si="3"/>
        <v>0</v>
      </c>
      <c r="J66" s="18">
        <f t="shared" si="1"/>
        <v>0</v>
      </c>
    </row>
    <row r="67" spans="1:10" x14ac:dyDescent="0.45">
      <c r="A67" s="3" t="s">
        <v>4</v>
      </c>
      <c r="B67" s="3" t="s">
        <v>12</v>
      </c>
      <c r="C67" s="4"/>
      <c r="D67" s="26"/>
      <c r="E67" s="3"/>
      <c r="F67" s="3"/>
      <c r="G67" s="3"/>
      <c r="H67" s="7"/>
      <c r="I67" s="18">
        <f t="shared" si="3"/>
        <v>0</v>
      </c>
      <c r="J67" s="18">
        <f t="shared" si="1"/>
        <v>0</v>
      </c>
    </row>
    <row r="68" spans="1:10" x14ac:dyDescent="0.45">
      <c r="A68" s="3" t="s">
        <v>42</v>
      </c>
      <c r="B68" s="3"/>
      <c r="C68" s="4">
        <v>150</v>
      </c>
      <c r="D68" s="26"/>
      <c r="E68" s="3" t="s">
        <v>255</v>
      </c>
      <c r="F68" s="3" t="s">
        <v>288</v>
      </c>
      <c r="G68" s="3"/>
      <c r="H68" s="7"/>
      <c r="I68" s="18">
        <f t="shared" si="3"/>
        <v>125</v>
      </c>
      <c r="J68" s="18">
        <f t="shared" si="1"/>
        <v>1250</v>
      </c>
    </row>
    <row r="69" spans="1:10" x14ac:dyDescent="0.45">
      <c r="A69" s="3" t="s">
        <v>191</v>
      </c>
      <c r="B69" s="3"/>
      <c r="C69" s="4">
        <v>150</v>
      </c>
      <c r="D69" s="26"/>
      <c r="E69" s="3" t="s">
        <v>255</v>
      </c>
      <c r="F69" s="3" t="s">
        <v>259</v>
      </c>
      <c r="G69" s="3"/>
      <c r="H69" s="7"/>
      <c r="I69" s="18">
        <f t="shared" si="3"/>
        <v>125</v>
      </c>
      <c r="J69" s="18">
        <f t="shared" si="1"/>
        <v>1250</v>
      </c>
    </row>
    <row r="70" spans="1:10" x14ac:dyDescent="0.45">
      <c r="A70" s="3" t="s">
        <v>73</v>
      </c>
      <c r="B70" s="3"/>
      <c r="C70" s="4">
        <v>200</v>
      </c>
      <c r="D70" s="26"/>
      <c r="E70" s="3" t="s">
        <v>255</v>
      </c>
      <c r="F70" s="3"/>
      <c r="G70" s="3"/>
      <c r="H70" s="7"/>
      <c r="I70" s="18">
        <f t="shared" si="3"/>
        <v>166.66666666666669</v>
      </c>
      <c r="J70" s="18">
        <f t="shared" si="1"/>
        <v>1666.666666666667</v>
      </c>
    </row>
    <row r="71" spans="1:10" x14ac:dyDescent="0.45">
      <c r="A71" s="3" t="s">
        <v>58</v>
      </c>
      <c r="B71" s="3"/>
      <c r="C71" s="4">
        <v>150</v>
      </c>
      <c r="D71" s="26"/>
      <c r="E71" s="3" t="s">
        <v>255</v>
      </c>
      <c r="F71" s="3"/>
      <c r="G71" s="3"/>
      <c r="H71" s="7"/>
      <c r="I71" s="18">
        <f t="shared" si="3"/>
        <v>125</v>
      </c>
      <c r="J71" s="18">
        <f t="shared" si="1"/>
        <v>1250</v>
      </c>
    </row>
    <row r="72" spans="1:10" x14ac:dyDescent="0.45">
      <c r="A72" s="3" t="s">
        <v>75</v>
      </c>
      <c r="B72" s="3"/>
      <c r="C72" s="4">
        <v>200</v>
      </c>
      <c r="D72" s="26"/>
      <c r="E72" s="3" t="s">
        <v>255</v>
      </c>
      <c r="F72" s="3"/>
      <c r="G72" s="3"/>
      <c r="H72" s="7"/>
      <c r="I72" s="18">
        <f t="shared" si="3"/>
        <v>166.66666666666669</v>
      </c>
      <c r="J72" s="18">
        <f t="shared" si="1"/>
        <v>1666.666666666667</v>
      </c>
    </row>
    <row r="73" spans="1:10" x14ac:dyDescent="0.45">
      <c r="A73" s="3" t="s">
        <v>74</v>
      </c>
      <c r="B73" s="3"/>
      <c r="C73" s="4">
        <v>200</v>
      </c>
      <c r="D73" s="26"/>
      <c r="E73" s="3" t="s">
        <v>255</v>
      </c>
      <c r="F73" s="3"/>
      <c r="G73" s="3"/>
      <c r="H73" s="7"/>
      <c r="I73" s="18">
        <f t="shared" si="3"/>
        <v>166.66666666666669</v>
      </c>
      <c r="J73" s="18">
        <f t="shared" si="1"/>
        <v>1666.666666666667</v>
      </c>
    </row>
    <row r="74" spans="1:10" x14ac:dyDescent="0.45">
      <c r="A74" s="3" t="s">
        <v>43</v>
      </c>
      <c r="B74" s="3"/>
      <c r="C74" s="4">
        <v>250</v>
      </c>
      <c r="D74" s="26"/>
      <c r="E74" s="3" t="s">
        <v>255</v>
      </c>
      <c r="F74" s="3"/>
      <c r="G74" s="3"/>
      <c r="H74" s="7"/>
      <c r="I74" s="18">
        <f t="shared" si="3"/>
        <v>208.33333333333334</v>
      </c>
      <c r="J74" s="18">
        <f t="shared" si="1"/>
        <v>2083.3333333333335</v>
      </c>
    </row>
    <row r="75" spans="1:10" x14ac:dyDescent="0.45">
      <c r="A75" s="3" t="s">
        <v>44</v>
      </c>
      <c r="B75" s="3"/>
      <c r="C75" s="4">
        <v>150</v>
      </c>
      <c r="D75" s="26"/>
      <c r="E75" s="3" t="s">
        <v>255</v>
      </c>
      <c r="F75" s="3"/>
      <c r="G75" s="3"/>
      <c r="H75" s="7"/>
      <c r="I75" s="18">
        <f t="shared" si="3"/>
        <v>125</v>
      </c>
      <c r="J75" s="18">
        <f t="shared" si="1"/>
        <v>1250</v>
      </c>
    </row>
    <row r="76" spans="1:10" x14ac:dyDescent="0.45">
      <c r="A76" s="3" t="s">
        <v>207</v>
      </c>
      <c r="B76" s="3"/>
      <c r="C76" s="4">
        <v>210</v>
      </c>
      <c r="D76" s="26"/>
      <c r="E76" s="3" t="s">
        <v>254</v>
      </c>
      <c r="F76" s="3"/>
      <c r="G76" s="3"/>
      <c r="H76" s="7"/>
      <c r="I76" s="18">
        <f t="shared" si="3"/>
        <v>175</v>
      </c>
      <c r="J76" s="18">
        <f t="shared" si="1"/>
        <v>1750</v>
      </c>
    </row>
    <row r="77" spans="1:10" x14ac:dyDescent="0.45">
      <c r="A77" s="3" t="s">
        <v>378</v>
      </c>
      <c r="B77" s="3"/>
      <c r="C77" s="4">
        <v>100</v>
      </c>
      <c r="D77" s="26">
        <v>44249</v>
      </c>
      <c r="E77" s="3" t="s">
        <v>254</v>
      </c>
      <c r="F77" s="3" t="s">
        <v>379</v>
      </c>
      <c r="G77" s="3"/>
      <c r="H77" s="7"/>
      <c r="I77" s="18">
        <f t="shared" si="3"/>
        <v>83.333333333333343</v>
      </c>
      <c r="J77" s="18">
        <f t="shared" si="1"/>
        <v>833.33333333333348</v>
      </c>
    </row>
    <row r="78" spans="1:10" x14ac:dyDescent="0.45">
      <c r="A78" s="3" t="s">
        <v>248</v>
      </c>
      <c r="B78" s="3"/>
      <c r="C78" s="4">
        <v>250</v>
      </c>
      <c r="D78" s="26"/>
      <c r="E78" s="3" t="s">
        <v>253</v>
      </c>
      <c r="F78" s="3"/>
      <c r="G78" s="3"/>
      <c r="H78" s="7"/>
      <c r="I78" s="18">
        <f t="shared" si="3"/>
        <v>208.33333333333334</v>
      </c>
      <c r="J78" s="18">
        <f t="shared" ref="J78:J140" si="4">I78*$J$6</f>
        <v>2083.3333333333335</v>
      </c>
    </row>
    <row r="79" spans="1:10" x14ac:dyDescent="0.45">
      <c r="A79" s="3" t="s">
        <v>249</v>
      </c>
      <c r="B79" s="3"/>
      <c r="C79" s="4">
        <v>300</v>
      </c>
      <c r="D79" s="26"/>
      <c r="E79" s="3" t="s">
        <v>253</v>
      </c>
      <c r="F79" s="3" t="s">
        <v>260</v>
      </c>
      <c r="G79" s="3"/>
      <c r="H79" s="7"/>
      <c r="I79" s="18">
        <f t="shared" si="3"/>
        <v>250</v>
      </c>
      <c r="J79" s="18">
        <f t="shared" si="4"/>
        <v>2500</v>
      </c>
    </row>
    <row r="80" spans="1:10" x14ac:dyDescent="0.45">
      <c r="A80" s="34" t="s">
        <v>261</v>
      </c>
      <c r="B80" s="34"/>
      <c r="C80" s="34"/>
      <c r="D80" s="34"/>
      <c r="E80" s="34"/>
      <c r="F80" s="34"/>
      <c r="G80" s="34"/>
      <c r="H80" s="34"/>
      <c r="I80" s="18"/>
      <c r="J80" s="18"/>
    </row>
    <row r="81" spans="1:10" x14ac:dyDescent="0.45">
      <c r="A81" s="10" t="s">
        <v>0</v>
      </c>
      <c r="B81" s="10" t="s">
        <v>1</v>
      </c>
      <c r="C81" s="11" t="s">
        <v>2</v>
      </c>
      <c r="D81" s="25"/>
      <c r="E81" s="10" t="s">
        <v>26</v>
      </c>
      <c r="F81" s="10" t="s">
        <v>190</v>
      </c>
      <c r="G81" s="10" t="s">
        <v>269</v>
      </c>
      <c r="H81" s="14" t="s">
        <v>273</v>
      </c>
      <c r="I81" s="18" t="s">
        <v>2</v>
      </c>
      <c r="J81" s="18"/>
    </row>
    <row r="82" spans="1:10" x14ac:dyDescent="0.45">
      <c r="A82" s="3" t="s">
        <v>251</v>
      </c>
      <c r="B82" s="3"/>
      <c r="C82" s="4">
        <v>80</v>
      </c>
      <c r="D82" s="26"/>
      <c r="E82" s="3" t="s">
        <v>250</v>
      </c>
      <c r="F82" s="3"/>
      <c r="G82" s="3"/>
      <c r="H82" s="7"/>
      <c r="I82" s="18">
        <f>C82/(1+$K$6)</f>
        <v>66.666666666666671</v>
      </c>
      <c r="J82" s="18">
        <f t="shared" si="4"/>
        <v>666.66666666666674</v>
      </c>
    </row>
    <row r="83" spans="1:10" x14ac:dyDescent="0.45">
      <c r="A83" s="3" t="s">
        <v>251</v>
      </c>
      <c r="B83" s="3"/>
      <c r="C83" s="4">
        <v>100</v>
      </c>
      <c r="D83" s="26"/>
      <c r="E83" s="3" t="s">
        <v>252</v>
      </c>
      <c r="F83" s="3"/>
      <c r="G83" s="3"/>
      <c r="H83" s="7"/>
      <c r="I83" s="18">
        <f>C83/(1+$K$6)</f>
        <v>83.333333333333343</v>
      </c>
      <c r="J83" s="18">
        <f t="shared" si="4"/>
        <v>833.33333333333348</v>
      </c>
    </row>
    <row r="84" spans="1:10" x14ac:dyDescent="0.45">
      <c r="A84" s="3" t="s">
        <v>205</v>
      </c>
      <c r="B84" s="3" t="s">
        <v>59</v>
      </c>
      <c r="C84" s="4">
        <v>60</v>
      </c>
      <c r="D84" s="26"/>
      <c r="E84" s="3"/>
      <c r="F84" s="3"/>
      <c r="G84" s="3"/>
      <c r="H84" s="7"/>
      <c r="I84" s="18">
        <f>C84/(1+$K$6)</f>
        <v>50</v>
      </c>
      <c r="J84" s="18">
        <f t="shared" si="4"/>
        <v>500</v>
      </c>
    </row>
    <row r="85" spans="1:10" x14ac:dyDescent="0.45">
      <c r="A85" s="3" t="s">
        <v>205</v>
      </c>
      <c r="B85" s="3" t="s">
        <v>60</v>
      </c>
      <c r="C85" s="4">
        <v>80</v>
      </c>
      <c r="D85" s="26"/>
      <c r="E85" s="3"/>
      <c r="F85" s="3"/>
      <c r="G85" s="3"/>
      <c r="H85" s="7"/>
      <c r="I85" s="18">
        <f>C85/(1+$K$6)</f>
        <v>66.666666666666671</v>
      </c>
      <c r="J85" s="18">
        <f t="shared" si="4"/>
        <v>666.66666666666674</v>
      </c>
    </row>
    <row r="86" spans="1:10" x14ac:dyDescent="0.45">
      <c r="A86" s="3" t="s">
        <v>206</v>
      </c>
      <c r="B86" s="3"/>
      <c r="C86" s="4">
        <v>70</v>
      </c>
      <c r="D86" s="26"/>
      <c r="E86" s="3"/>
      <c r="F86" s="3"/>
      <c r="G86" s="3"/>
      <c r="H86" s="7"/>
      <c r="I86" s="18">
        <f>C86/(1+$K$6)</f>
        <v>58.333333333333336</v>
      </c>
      <c r="J86" s="18">
        <f t="shared" si="4"/>
        <v>583.33333333333337</v>
      </c>
    </row>
    <row r="87" spans="1:10" x14ac:dyDescent="0.45">
      <c r="A87" s="34" t="s">
        <v>234</v>
      </c>
      <c r="B87" s="34"/>
      <c r="C87" s="34"/>
      <c r="D87" s="34"/>
      <c r="E87" s="34"/>
      <c r="F87" s="34"/>
      <c r="G87" s="34"/>
      <c r="H87" s="34"/>
      <c r="I87" s="18"/>
      <c r="J87" s="18"/>
    </row>
    <row r="88" spans="1:10" x14ac:dyDescent="0.45">
      <c r="A88" s="3" t="s">
        <v>0</v>
      </c>
      <c r="B88" s="3" t="s">
        <v>1</v>
      </c>
      <c r="C88" s="4" t="s">
        <v>2</v>
      </c>
      <c r="D88" s="26"/>
      <c r="E88" s="3" t="s">
        <v>26</v>
      </c>
      <c r="F88" s="3" t="s">
        <v>190</v>
      </c>
      <c r="G88" s="10" t="s">
        <v>269</v>
      </c>
      <c r="H88" s="14" t="s">
        <v>273</v>
      </c>
      <c r="I88" s="18" t="s">
        <v>2</v>
      </c>
      <c r="J88" s="18"/>
    </row>
    <row r="89" spans="1:10" x14ac:dyDescent="0.45">
      <c r="A89" s="3" t="s">
        <v>213</v>
      </c>
      <c r="B89" s="3" t="s">
        <v>214</v>
      </c>
      <c r="C89" s="4">
        <v>300</v>
      </c>
      <c r="D89" s="26"/>
      <c r="E89" s="3" t="s">
        <v>250</v>
      </c>
      <c r="F89" s="3"/>
      <c r="G89" s="3">
        <v>4004030001</v>
      </c>
      <c r="H89" s="7"/>
      <c r="I89" s="18">
        <f t="shared" ref="I89:I125" si="5">C89/(1+$K$6)</f>
        <v>250</v>
      </c>
      <c r="J89" s="18">
        <f t="shared" si="4"/>
        <v>2500</v>
      </c>
    </row>
    <row r="90" spans="1:10" x14ac:dyDescent="0.45">
      <c r="A90" s="3" t="s">
        <v>29</v>
      </c>
      <c r="B90" s="3"/>
      <c r="C90" s="4">
        <v>50</v>
      </c>
      <c r="D90" s="26"/>
      <c r="E90" s="3"/>
      <c r="F90" s="3"/>
      <c r="G90" s="3"/>
      <c r="H90" s="7"/>
      <c r="I90" s="18">
        <f t="shared" si="5"/>
        <v>41.666666666666671</v>
      </c>
      <c r="J90" s="18">
        <f t="shared" si="4"/>
        <v>416.66666666666674</v>
      </c>
    </row>
    <row r="91" spans="1:10" x14ac:dyDescent="0.45">
      <c r="A91" s="3" t="s">
        <v>30</v>
      </c>
      <c r="B91" s="3" t="s">
        <v>20</v>
      </c>
      <c r="C91" s="4">
        <v>50</v>
      </c>
      <c r="D91" s="26"/>
      <c r="E91" s="3"/>
      <c r="F91" s="3"/>
      <c r="G91" s="3"/>
      <c r="H91" s="7"/>
      <c r="I91" s="18">
        <f t="shared" si="5"/>
        <v>41.666666666666671</v>
      </c>
      <c r="J91" s="18">
        <f t="shared" si="4"/>
        <v>416.66666666666674</v>
      </c>
    </row>
    <row r="92" spans="1:10" x14ac:dyDescent="0.45">
      <c r="A92" s="3" t="s">
        <v>15</v>
      </c>
      <c r="B92" s="3" t="s">
        <v>14</v>
      </c>
      <c r="C92" s="4">
        <v>400</v>
      </c>
      <c r="D92" s="26"/>
      <c r="E92" s="3"/>
      <c r="F92" s="3"/>
      <c r="G92" s="3"/>
      <c r="H92" s="7"/>
      <c r="I92" s="18">
        <f t="shared" si="5"/>
        <v>333.33333333333337</v>
      </c>
      <c r="J92" s="18">
        <f t="shared" si="4"/>
        <v>3333.3333333333339</v>
      </c>
    </row>
    <row r="93" spans="1:10" x14ac:dyDescent="0.45">
      <c r="A93" s="3" t="s">
        <v>246</v>
      </c>
      <c r="B93" s="3" t="s">
        <v>13</v>
      </c>
      <c r="C93" s="4">
        <v>600</v>
      </c>
      <c r="D93" s="26"/>
      <c r="E93" s="3" t="s">
        <v>277</v>
      </c>
      <c r="F93" s="3"/>
      <c r="G93" s="3">
        <v>3001010025</v>
      </c>
      <c r="H93" s="7"/>
      <c r="I93" s="18">
        <f t="shared" si="5"/>
        <v>500</v>
      </c>
      <c r="J93" s="18">
        <f t="shared" si="4"/>
        <v>5000</v>
      </c>
    </row>
    <row r="94" spans="1:10" x14ac:dyDescent="0.45">
      <c r="A94" s="3" t="s">
        <v>230</v>
      </c>
      <c r="B94" s="3" t="s">
        <v>50</v>
      </c>
      <c r="C94" s="4">
        <v>700</v>
      </c>
      <c r="D94" s="26"/>
      <c r="E94" s="3"/>
      <c r="F94" s="3"/>
      <c r="G94" s="3"/>
      <c r="H94" s="7"/>
      <c r="I94" s="18">
        <f t="shared" si="5"/>
        <v>583.33333333333337</v>
      </c>
      <c r="J94" s="18">
        <f t="shared" si="4"/>
        <v>5833.3333333333339</v>
      </c>
    </row>
    <row r="95" spans="1:10" x14ac:dyDescent="0.45">
      <c r="A95" s="3" t="s">
        <v>21</v>
      </c>
      <c r="B95" s="3" t="s">
        <v>20</v>
      </c>
      <c r="C95" s="4">
        <v>1100</v>
      </c>
      <c r="D95" s="26"/>
      <c r="E95" s="3"/>
      <c r="F95" s="3"/>
      <c r="G95" s="3"/>
      <c r="H95" s="7"/>
      <c r="I95" s="18">
        <f t="shared" si="5"/>
        <v>916.66666666666674</v>
      </c>
      <c r="J95" s="18">
        <f t="shared" si="4"/>
        <v>9166.6666666666679</v>
      </c>
    </row>
    <row r="96" spans="1:10" x14ac:dyDescent="0.45">
      <c r="A96" s="3" t="s">
        <v>39</v>
      </c>
      <c r="B96" s="3" t="s">
        <v>40</v>
      </c>
      <c r="C96" s="4">
        <v>350</v>
      </c>
      <c r="D96" s="26"/>
      <c r="E96" s="3"/>
      <c r="F96" s="3"/>
      <c r="G96" s="3"/>
      <c r="H96" s="7"/>
      <c r="I96" s="18">
        <f t="shared" si="5"/>
        <v>291.66666666666669</v>
      </c>
      <c r="J96" s="18">
        <f t="shared" si="4"/>
        <v>2916.666666666667</v>
      </c>
    </row>
    <row r="97" spans="1:10" x14ac:dyDescent="0.45">
      <c r="A97" s="3" t="s">
        <v>39</v>
      </c>
      <c r="B97" s="3" t="s">
        <v>72</v>
      </c>
      <c r="C97" s="4">
        <v>550</v>
      </c>
      <c r="D97" s="26"/>
      <c r="E97" s="3"/>
      <c r="F97" s="3"/>
      <c r="G97" s="3"/>
      <c r="H97" s="7"/>
      <c r="I97" s="18">
        <f t="shared" si="5"/>
        <v>458.33333333333337</v>
      </c>
      <c r="J97" s="18">
        <f t="shared" si="4"/>
        <v>4583.3333333333339</v>
      </c>
    </row>
    <row r="98" spans="1:10" x14ac:dyDescent="0.45">
      <c r="A98" s="3" t="s">
        <v>193</v>
      </c>
      <c r="B98" s="3" t="s">
        <v>20</v>
      </c>
      <c r="C98" s="4"/>
      <c r="D98" s="26"/>
      <c r="E98" s="3"/>
      <c r="F98" s="3"/>
      <c r="G98" s="3"/>
      <c r="H98" s="7"/>
      <c r="I98" s="18">
        <f t="shared" si="5"/>
        <v>0</v>
      </c>
      <c r="J98" s="18">
        <f t="shared" si="4"/>
        <v>0</v>
      </c>
    </row>
    <row r="99" spans="1:10" x14ac:dyDescent="0.45">
      <c r="A99" s="3" t="s">
        <v>194</v>
      </c>
      <c r="B99" s="3" t="s">
        <v>13</v>
      </c>
      <c r="C99" s="4">
        <v>1200</v>
      </c>
      <c r="D99" s="26"/>
      <c r="E99" s="3"/>
      <c r="F99" s="3"/>
      <c r="G99" s="3"/>
      <c r="H99" s="7"/>
      <c r="I99" s="18">
        <f t="shared" si="5"/>
        <v>1000</v>
      </c>
      <c r="J99" s="18">
        <f t="shared" si="4"/>
        <v>10000</v>
      </c>
    </row>
    <row r="100" spans="1:10" x14ac:dyDescent="0.45">
      <c r="A100" s="3" t="s">
        <v>194</v>
      </c>
      <c r="B100" s="3" t="s">
        <v>20</v>
      </c>
      <c r="C100" s="4">
        <v>3000</v>
      </c>
      <c r="D100" s="26"/>
      <c r="E100" s="3"/>
      <c r="F100" s="3"/>
      <c r="G100" s="3"/>
      <c r="H100" s="7"/>
      <c r="I100" s="18">
        <f t="shared" si="5"/>
        <v>2500</v>
      </c>
      <c r="J100" s="18">
        <f t="shared" si="4"/>
        <v>25000</v>
      </c>
    </row>
    <row r="101" spans="1:10" x14ac:dyDescent="0.45">
      <c r="A101" s="3" t="s">
        <v>195</v>
      </c>
      <c r="B101" s="3" t="s">
        <v>20</v>
      </c>
      <c r="C101" s="4"/>
      <c r="D101" s="26"/>
      <c r="E101" s="3"/>
      <c r="F101" s="3"/>
      <c r="G101" s="3"/>
      <c r="H101" s="7"/>
      <c r="I101" s="18">
        <f t="shared" si="5"/>
        <v>0</v>
      </c>
      <c r="J101" s="18">
        <f t="shared" si="4"/>
        <v>0</v>
      </c>
    </row>
    <row r="102" spans="1:10" x14ac:dyDescent="0.45">
      <c r="A102" s="3" t="s">
        <v>195</v>
      </c>
      <c r="B102" s="3" t="s">
        <v>13</v>
      </c>
      <c r="C102" s="4">
        <v>1200</v>
      </c>
      <c r="D102" s="26"/>
      <c r="E102" s="3"/>
      <c r="F102" s="3"/>
      <c r="G102" s="3"/>
      <c r="H102" s="7"/>
      <c r="I102" s="18">
        <f t="shared" si="5"/>
        <v>1000</v>
      </c>
      <c r="J102" s="18">
        <f t="shared" si="4"/>
        <v>10000</v>
      </c>
    </row>
    <row r="103" spans="1:10" x14ac:dyDescent="0.45">
      <c r="A103" s="3" t="s">
        <v>196</v>
      </c>
      <c r="B103" s="3" t="s">
        <v>13</v>
      </c>
      <c r="C103" s="4"/>
      <c r="D103" s="26"/>
      <c r="E103" s="3"/>
      <c r="F103" s="3"/>
      <c r="G103" s="3"/>
      <c r="H103" s="7"/>
      <c r="I103" s="18">
        <f t="shared" si="5"/>
        <v>0</v>
      </c>
      <c r="J103" s="18">
        <f t="shared" si="4"/>
        <v>0</v>
      </c>
    </row>
    <row r="104" spans="1:10" x14ac:dyDescent="0.45">
      <c r="A104" s="3" t="s">
        <v>196</v>
      </c>
      <c r="B104" s="3" t="s">
        <v>20</v>
      </c>
      <c r="C104" s="4"/>
      <c r="D104" s="26"/>
      <c r="E104" s="3"/>
      <c r="F104" s="3"/>
      <c r="G104" s="3"/>
      <c r="H104" s="7"/>
      <c r="I104" s="18">
        <f t="shared" si="5"/>
        <v>0</v>
      </c>
      <c r="J104" s="18">
        <f t="shared" si="4"/>
        <v>0</v>
      </c>
    </row>
    <row r="105" spans="1:10" x14ac:dyDescent="0.45">
      <c r="A105" s="3" t="s">
        <v>197</v>
      </c>
      <c r="B105" s="3" t="s">
        <v>13</v>
      </c>
      <c r="C105" s="4">
        <v>1200</v>
      </c>
      <c r="D105" s="26"/>
      <c r="E105" s="3"/>
      <c r="F105" s="3"/>
      <c r="G105" s="3"/>
      <c r="H105" s="7"/>
      <c r="I105" s="18">
        <f t="shared" si="5"/>
        <v>1000</v>
      </c>
      <c r="J105" s="18">
        <f t="shared" si="4"/>
        <v>10000</v>
      </c>
    </row>
    <row r="106" spans="1:10" x14ac:dyDescent="0.45">
      <c r="A106" s="3" t="s">
        <v>197</v>
      </c>
      <c r="B106" s="3" t="s">
        <v>20</v>
      </c>
      <c r="C106" s="4"/>
      <c r="D106" s="26"/>
      <c r="E106" s="3"/>
      <c r="F106" s="3"/>
      <c r="G106" s="3"/>
      <c r="H106" s="7"/>
      <c r="I106" s="18">
        <f t="shared" si="5"/>
        <v>0</v>
      </c>
      <c r="J106" s="18">
        <f t="shared" si="4"/>
        <v>0</v>
      </c>
    </row>
    <row r="107" spans="1:10" x14ac:dyDescent="0.45">
      <c r="A107" s="3" t="s">
        <v>198</v>
      </c>
      <c r="B107" s="3" t="s">
        <v>13</v>
      </c>
      <c r="C107" s="4">
        <v>1500</v>
      </c>
      <c r="D107" s="26"/>
      <c r="E107" s="3"/>
      <c r="F107" s="3"/>
      <c r="G107" s="3"/>
      <c r="H107" s="7"/>
      <c r="I107" s="18">
        <f t="shared" si="5"/>
        <v>1250</v>
      </c>
      <c r="J107" s="18">
        <f t="shared" si="4"/>
        <v>12500</v>
      </c>
    </row>
    <row r="108" spans="1:10" x14ac:dyDescent="0.45">
      <c r="A108" s="3" t="s">
        <v>199</v>
      </c>
      <c r="B108" s="3" t="s">
        <v>61</v>
      </c>
      <c r="C108" s="4">
        <v>900</v>
      </c>
      <c r="D108" s="26"/>
      <c r="E108" s="3" t="s">
        <v>281</v>
      </c>
      <c r="F108" s="3"/>
      <c r="G108" s="3"/>
      <c r="H108" s="7"/>
      <c r="I108" s="18">
        <f t="shared" si="5"/>
        <v>750</v>
      </c>
      <c r="J108" s="18">
        <f t="shared" si="4"/>
        <v>7500</v>
      </c>
    </row>
    <row r="109" spans="1:10" x14ac:dyDescent="0.45">
      <c r="A109" s="3" t="s">
        <v>199</v>
      </c>
      <c r="B109" s="3" t="s">
        <v>62</v>
      </c>
      <c r="C109" s="4">
        <v>1500</v>
      </c>
      <c r="D109" s="26"/>
      <c r="E109" s="3" t="s">
        <v>281</v>
      </c>
      <c r="F109" s="3"/>
      <c r="G109" s="3"/>
      <c r="H109" s="7"/>
      <c r="I109" s="18">
        <f t="shared" si="5"/>
        <v>1250</v>
      </c>
      <c r="J109" s="18">
        <f t="shared" si="4"/>
        <v>12500</v>
      </c>
    </row>
    <row r="110" spans="1:10" x14ac:dyDescent="0.45">
      <c r="A110" s="3" t="s">
        <v>199</v>
      </c>
      <c r="B110" s="3" t="s">
        <v>13</v>
      </c>
      <c r="C110" s="4">
        <v>1200</v>
      </c>
      <c r="D110" s="26"/>
      <c r="E110" s="3" t="s">
        <v>281</v>
      </c>
      <c r="F110" s="3"/>
      <c r="G110" s="3">
        <v>3006010009</v>
      </c>
      <c r="H110" s="7"/>
      <c r="I110" s="18">
        <f t="shared" si="5"/>
        <v>1000</v>
      </c>
      <c r="J110" s="18">
        <f t="shared" si="4"/>
        <v>10000</v>
      </c>
    </row>
    <row r="111" spans="1:10" x14ac:dyDescent="0.45">
      <c r="A111" s="3" t="s">
        <v>199</v>
      </c>
      <c r="B111" s="3" t="s">
        <v>20</v>
      </c>
      <c r="C111" s="4">
        <v>3000</v>
      </c>
      <c r="D111" s="26"/>
      <c r="E111" s="3"/>
      <c r="F111" s="3"/>
      <c r="G111" s="3"/>
      <c r="H111" s="7"/>
      <c r="I111" s="18">
        <f t="shared" si="5"/>
        <v>2500</v>
      </c>
      <c r="J111" s="18">
        <f t="shared" si="4"/>
        <v>25000</v>
      </c>
    </row>
    <row r="112" spans="1:10" x14ac:dyDescent="0.45">
      <c r="A112" s="3" t="s">
        <v>200</v>
      </c>
      <c r="B112" s="3" t="s">
        <v>13</v>
      </c>
      <c r="C112" s="4">
        <v>1200</v>
      </c>
      <c r="D112" s="26"/>
      <c r="E112" s="3"/>
      <c r="F112" s="3"/>
      <c r="G112" s="3"/>
      <c r="H112" s="7"/>
      <c r="I112" s="18">
        <f t="shared" si="5"/>
        <v>1000</v>
      </c>
      <c r="J112" s="18">
        <f t="shared" si="4"/>
        <v>10000</v>
      </c>
    </row>
    <row r="113" spans="1:10" x14ac:dyDescent="0.45">
      <c r="A113" s="3" t="s">
        <v>200</v>
      </c>
      <c r="B113" s="3" t="s">
        <v>20</v>
      </c>
      <c r="C113" s="4">
        <v>3000</v>
      </c>
      <c r="D113" s="26"/>
      <c r="E113" s="3"/>
      <c r="F113" s="3"/>
      <c r="G113" s="3"/>
      <c r="H113" s="7"/>
      <c r="I113" s="18">
        <f t="shared" si="5"/>
        <v>2500</v>
      </c>
      <c r="J113" s="18">
        <f t="shared" si="4"/>
        <v>25000</v>
      </c>
    </row>
    <row r="114" spans="1:10" x14ac:dyDescent="0.45">
      <c r="A114" s="3" t="s">
        <v>201</v>
      </c>
      <c r="B114" s="3" t="s">
        <v>13</v>
      </c>
      <c r="C114" s="4"/>
      <c r="D114" s="26"/>
      <c r="E114" s="3"/>
      <c r="F114" s="3"/>
      <c r="G114" s="3"/>
      <c r="H114" s="7"/>
      <c r="I114" s="18">
        <f t="shared" si="5"/>
        <v>0</v>
      </c>
      <c r="J114" s="18">
        <f t="shared" si="4"/>
        <v>0</v>
      </c>
    </row>
    <row r="115" spans="1:10" x14ac:dyDescent="0.45">
      <c r="A115" s="3" t="s">
        <v>201</v>
      </c>
      <c r="B115" s="3" t="s">
        <v>20</v>
      </c>
      <c r="C115" s="4">
        <v>3000</v>
      </c>
      <c r="D115" s="26"/>
      <c r="E115" s="3"/>
      <c r="F115" s="3"/>
      <c r="G115" s="3"/>
      <c r="H115" s="7"/>
      <c r="I115" s="18">
        <f t="shared" si="5"/>
        <v>2500</v>
      </c>
      <c r="J115" s="18">
        <f t="shared" si="4"/>
        <v>25000</v>
      </c>
    </row>
    <row r="116" spans="1:10" x14ac:dyDescent="0.45">
      <c r="A116" s="3" t="s">
        <v>202</v>
      </c>
      <c r="B116" s="3" t="s">
        <v>20</v>
      </c>
      <c r="C116" s="4"/>
      <c r="D116" s="26"/>
      <c r="E116" s="3"/>
      <c r="F116" s="3"/>
      <c r="G116" s="3"/>
      <c r="H116" s="7"/>
      <c r="I116" s="18">
        <f t="shared" si="5"/>
        <v>0</v>
      </c>
      <c r="J116" s="18">
        <f t="shared" si="4"/>
        <v>0</v>
      </c>
    </row>
    <row r="117" spans="1:10" x14ac:dyDescent="0.45">
      <c r="A117" s="3" t="s">
        <v>203</v>
      </c>
      <c r="B117" s="3" t="s">
        <v>20</v>
      </c>
      <c r="C117" s="4"/>
      <c r="D117" s="26"/>
      <c r="E117" s="3"/>
      <c r="F117" s="3"/>
      <c r="G117" s="3"/>
      <c r="H117" s="7"/>
      <c r="I117" s="18">
        <f t="shared" si="5"/>
        <v>0</v>
      </c>
      <c r="J117" s="18">
        <f t="shared" si="4"/>
        <v>0</v>
      </c>
    </row>
    <row r="118" spans="1:10" x14ac:dyDescent="0.45">
      <c r="A118" s="3" t="s">
        <v>204</v>
      </c>
      <c r="B118" s="3" t="s">
        <v>13</v>
      </c>
      <c r="C118" s="4">
        <v>1500</v>
      </c>
      <c r="D118" s="26"/>
      <c r="E118" s="3" t="s">
        <v>282</v>
      </c>
      <c r="F118" s="3"/>
      <c r="G118" s="3">
        <v>3006010003</v>
      </c>
      <c r="H118" s="7"/>
      <c r="I118" s="18">
        <f t="shared" si="5"/>
        <v>1250</v>
      </c>
      <c r="J118" s="18">
        <f t="shared" si="4"/>
        <v>12500</v>
      </c>
    </row>
    <row r="119" spans="1:10" x14ac:dyDescent="0.45">
      <c r="A119" s="3" t="s">
        <v>204</v>
      </c>
      <c r="B119" s="3" t="s">
        <v>13</v>
      </c>
      <c r="C119" s="4">
        <v>1500</v>
      </c>
      <c r="D119" s="26"/>
      <c r="E119" s="3" t="s">
        <v>283</v>
      </c>
      <c r="F119" s="3"/>
      <c r="G119" s="3">
        <v>3006010005</v>
      </c>
      <c r="H119" s="7"/>
      <c r="I119" s="18">
        <f t="shared" si="5"/>
        <v>1250</v>
      </c>
      <c r="J119" s="18">
        <f t="shared" si="4"/>
        <v>12500</v>
      </c>
    </row>
    <row r="120" spans="1:10" x14ac:dyDescent="0.45">
      <c r="A120" s="3" t="s">
        <v>204</v>
      </c>
      <c r="B120" s="3" t="s">
        <v>20</v>
      </c>
      <c r="C120" s="4"/>
      <c r="D120" s="26"/>
      <c r="E120" s="3"/>
      <c r="F120" s="3"/>
      <c r="G120" s="3"/>
      <c r="H120" s="7"/>
      <c r="I120" s="18">
        <f t="shared" si="5"/>
        <v>0</v>
      </c>
      <c r="J120" s="18">
        <f t="shared" si="4"/>
        <v>0</v>
      </c>
    </row>
    <row r="121" spans="1:10" x14ac:dyDescent="0.45">
      <c r="A121" s="3" t="s">
        <v>204</v>
      </c>
      <c r="B121" s="3" t="s">
        <v>51</v>
      </c>
      <c r="C121" s="4">
        <v>2400</v>
      </c>
      <c r="D121" s="26"/>
      <c r="E121" s="3"/>
      <c r="F121" s="3"/>
      <c r="G121" s="3"/>
      <c r="H121" s="7"/>
      <c r="I121" s="18">
        <f t="shared" si="5"/>
        <v>2000</v>
      </c>
      <c r="J121" s="18">
        <f t="shared" si="4"/>
        <v>20000</v>
      </c>
    </row>
    <row r="122" spans="1:10" x14ac:dyDescent="0.45">
      <c r="A122" s="3" t="s">
        <v>296</v>
      </c>
      <c r="B122" s="3" t="s">
        <v>51</v>
      </c>
      <c r="C122" s="4"/>
      <c r="D122" s="26"/>
      <c r="E122" s="3"/>
      <c r="F122" s="3"/>
      <c r="G122" s="3"/>
      <c r="H122" s="7"/>
      <c r="I122" s="18">
        <f t="shared" si="5"/>
        <v>0</v>
      </c>
      <c r="J122" s="18">
        <f t="shared" si="4"/>
        <v>0</v>
      </c>
    </row>
    <row r="123" spans="1:10" x14ac:dyDescent="0.45">
      <c r="A123" s="3" t="s">
        <v>295</v>
      </c>
      <c r="B123" s="3" t="s">
        <v>51</v>
      </c>
      <c r="C123" s="4"/>
      <c r="D123" s="26"/>
      <c r="E123" s="3"/>
      <c r="F123" s="3"/>
      <c r="G123" s="3"/>
      <c r="H123" s="7"/>
      <c r="I123" s="18">
        <f t="shared" si="5"/>
        <v>0</v>
      </c>
      <c r="J123" s="18">
        <f t="shared" si="4"/>
        <v>0</v>
      </c>
    </row>
    <row r="124" spans="1:10" x14ac:dyDescent="0.45">
      <c r="A124" s="3" t="s">
        <v>294</v>
      </c>
      <c r="B124" s="3" t="s">
        <v>51</v>
      </c>
      <c r="C124" s="4"/>
      <c r="D124" s="26"/>
      <c r="E124" s="3"/>
      <c r="F124" s="3"/>
      <c r="G124" s="3"/>
      <c r="H124" s="7"/>
      <c r="I124" s="18">
        <f t="shared" si="5"/>
        <v>0</v>
      </c>
      <c r="J124" s="18">
        <f t="shared" si="4"/>
        <v>0</v>
      </c>
    </row>
    <row r="125" spans="1:10" x14ac:dyDescent="0.45">
      <c r="A125" s="3" t="s">
        <v>293</v>
      </c>
      <c r="B125" s="3" t="s">
        <v>51</v>
      </c>
      <c r="C125" s="4"/>
      <c r="D125" s="26"/>
      <c r="E125" s="3"/>
      <c r="F125" s="3"/>
      <c r="G125" s="3"/>
      <c r="H125" s="7"/>
      <c r="I125" s="18">
        <f t="shared" si="5"/>
        <v>0</v>
      </c>
      <c r="J125" s="18">
        <f t="shared" si="4"/>
        <v>0</v>
      </c>
    </row>
    <row r="126" spans="1:10" x14ac:dyDescent="0.45">
      <c r="A126" s="34" t="s">
        <v>235</v>
      </c>
      <c r="B126" s="34"/>
      <c r="C126" s="34"/>
      <c r="D126" s="34"/>
      <c r="E126" s="34"/>
      <c r="F126" s="34"/>
      <c r="G126" s="34"/>
      <c r="H126" s="7"/>
      <c r="I126" s="18"/>
      <c r="J126" s="18"/>
    </row>
    <row r="127" spans="1:10" x14ac:dyDescent="0.45">
      <c r="A127" s="3" t="s">
        <v>0</v>
      </c>
      <c r="B127" s="3" t="s">
        <v>1</v>
      </c>
      <c r="C127" s="4" t="s">
        <v>2</v>
      </c>
      <c r="D127" s="26"/>
      <c r="E127" s="3" t="s">
        <v>26</v>
      </c>
      <c r="F127" s="3" t="s">
        <v>190</v>
      </c>
      <c r="G127" s="10" t="s">
        <v>269</v>
      </c>
      <c r="H127" s="14" t="s">
        <v>273</v>
      </c>
      <c r="I127" s="18" t="s">
        <v>2</v>
      </c>
      <c r="J127" s="18"/>
    </row>
    <row r="128" spans="1:10" x14ac:dyDescent="0.45">
      <c r="A128" s="3" t="s">
        <v>237</v>
      </c>
      <c r="B128" s="3" t="s">
        <v>236</v>
      </c>
      <c r="C128" s="4">
        <v>330</v>
      </c>
      <c r="D128" s="26"/>
      <c r="E128" s="3"/>
      <c r="F128" s="3"/>
      <c r="G128" s="3"/>
      <c r="H128" s="7"/>
      <c r="I128" s="18">
        <f t="shared" ref="I128:I140" si="6">C128/(1+$K$6)</f>
        <v>275</v>
      </c>
      <c r="J128" s="18">
        <f t="shared" si="4"/>
        <v>2750</v>
      </c>
    </row>
    <row r="129" spans="1:10" x14ac:dyDescent="0.45">
      <c r="A129" s="3" t="s">
        <v>237</v>
      </c>
      <c r="B129" s="3" t="s">
        <v>18</v>
      </c>
      <c r="C129" s="4">
        <v>620</v>
      </c>
      <c r="D129" s="26"/>
      <c r="E129" s="3"/>
      <c r="F129" s="3"/>
      <c r="G129" s="3"/>
      <c r="H129" s="7"/>
      <c r="I129" s="18">
        <f t="shared" si="6"/>
        <v>516.66666666666674</v>
      </c>
      <c r="J129" s="18">
        <f t="shared" si="4"/>
        <v>5166.6666666666679</v>
      </c>
    </row>
    <row r="130" spans="1:10" ht="39" x14ac:dyDescent="0.45">
      <c r="A130" s="5" t="s">
        <v>238</v>
      </c>
      <c r="B130" s="3" t="s">
        <v>236</v>
      </c>
      <c r="C130" s="4">
        <v>350</v>
      </c>
      <c r="D130" s="26"/>
      <c r="E130" s="3"/>
      <c r="F130" s="3"/>
      <c r="G130" s="3"/>
      <c r="H130" s="7"/>
      <c r="I130" s="18">
        <f t="shared" si="6"/>
        <v>291.66666666666669</v>
      </c>
      <c r="J130" s="18">
        <f t="shared" si="4"/>
        <v>2916.666666666667</v>
      </c>
    </row>
    <row r="131" spans="1:10" x14ac:dyDescent="0.45">
      <c r="A131" s="5" t="s">
        <v>239</v>
      </c>
      <c r="B131" s="3" t="s">
        <v>236</v>
      </c>
      <c r="C131" s="4">
        <v>450</v>
      </c>
      <c r="D131" s="26"/>
      <c r="E131" s="3"/>
      <c r="F131" s="3"/>
      <c r="G131" s="3"/>
      <c r="H131" s="7"/>
      <c r="I131" s="18">
        <f t="shared" si="6"/>
        <v>375</v>
      </c>
      <c r="J131" s="18">
        <f t="shared" si="4"/>
        <v>3750</v>
      </c>
    </row>
    <row r="132" spans="1:10" ht="39" x14ac:dyDescent="0.45">
      <c r="A132" s="5" t="s">
        <v>242</v>
      </c>
      <c r="B132" s="3" t="s">
        <v>236</v>
      </c>
      <c r="C132" s="4">
        <v>350</v>
      </c>
      <c r="D132" s="26"/>
      <c r="E132" s="3"/>
      <c r="F132" s="3"/>
      <c r="G132" s="3"/>
      <c r="H132" s="7"/>
      <c r="I132" s="18">
        <f t="shared" si="6"/>
        <v>291.66666666666669</v>
      </c>
      <c r="J132" s="18">
        <f t="shared" si="4"/>
        <v>2916.666666666667</v>
      </c>
    </row>
    <row r="133" spans="1:10" ht="39" x14ac:dyDescent="0.45">
      <c r="A133" s="5" t="s">
        <v>240</v>
      </c>
      <c r="B133" s="3" t="s">
        <v>236</v>
      </c>
      <c r="C133" s="4">
        <v>350</v>
      </c>
      <c r="D133" s="26"/>
      <c r="E133" s="3" t="s">
        <v>241</v>
      </c>
      <c r="F133" s="3"/>
      <c r="G133" s="3"/>
      <c r="H133" s="7"/>
      <c r="I133" s="18">
        <f t="shared" si="6"/>
        <v>291.66666666666669</v>
      </c>
      <c r="J133" s="18">
        <f t="shared" si="4"/>
        <v>2916.666666666667</v>
      </c>
    </row>
    <row r="134" spans="1:10" x14ac:dyDescent="0.45">
      <c r="A134" s="3" t="s">
        <v>243</v>
      </c>
      <c r="B134" s="3"/>
      <c r="C134" s="4">
        <v>280</v>
      </c>
      <c r="D134" s="26"/>
      <c r="E134" s="3" t="s">
        <v>281</v>
      </c>
      <c r="F134" s="3"/>
      <c r="G134" s="3"/>
      <c r="H134" s="7"/>
      <c r="I134" s="18">
        <f t="shared" si="6"/>
        <v>233.33333333333334</v>
      </c>
      <c r="J134" s="18">
        <f t="shared" si="4"/>
        <v>2333.3333333333335</v>
      </c>
    </row>
    <row r="135" spans="1:10" x14ac:dyDescent="0.45">
      <c r="A135" s="3" t="s">
        <v>244</v>
      </c>
      <c r="B135" s="3"/>
      <c r="C135" s="4">
        <v>80</v>
      </c>
      <c r="D135" s="26">
        <v>44247</v>
      </c>
      <c r="E135" s="3" t="s">
        <v>281</v>
      </c>
      <c r="F135" s="3" t="s">
        <v>373</v>
      </c>
      <c r="G135" s="3"/>
      <c r="H135" s="7"/>
      <c r="I135" s="18">
        <f t="shared" si="6"/>
        <v>66.666666666666671</v>
      </c>
      <c r="J135" s="18">
        <f t="shared" si="4"/>
        <v>666.66666666666674</v>
      </c>
    </row>
    <row r="136" spans="1:10" x14ac:dyDescent="0.45">
      <c r="A136" s="3" t="s">
        <v>5</v>
      </c>
      <c r="B136" s="3" t="s">
        <v>18</v>
      </c>
      <c r="C136" s="4">
        <v>650</v>
      </c>
      <c r="D136" s="26"/>
      <c r="E136" s="3"/>
      <c r="F136" s="3"/>
      <c r="G136" s="3">
        <v>4002200003</v>
      </c>
      <c r="H136" s="7"/>
      <c r="I136" s="18">
        <f t="shared" si="6"/>
        <v>541.66666666666674</v>
      </c>
      <c r="J136" s="18">
        <f t="shared" si="4"/>
        <v>5416.6666666666679</v>
      </c>
    </row>
    <row r="137" spans="1:10" x14ac:dyDescent="0.45">
      <c r="A137" s="3" t="s">
        <v>5</v>
      </c>
      <c r="B137" s="3" t="s">
        <v>22</v>
      </c>
      <c r="C137" s="4">
        <v>350</v>
      </c>
      <c r="D137" s="26"/>
      <c r="E137" s="3"/>
      <c r="F137" s="3"/>
      <c r="G137" s="3"/>
      <c r="H137" s="7"/>
      <c r="I137" s="18">
        <f t="shared" si="6"/>
        <v>291.66666666666669</v>
      </c>
      <c r="J137" s="18">
        <f t="shared" si="4"/>
        <v>2916.666666666667</v>
      </c>
    </row>
    <row r="138" spans="1:10" x14ac:dyDescent="0.45">
      <c r="A138" s="3" t="s">
        <v>5</v>
      </c>
      <c r="B138" s="3" t="s">
        <v>8</v>
      </c>
      <c r="C138" s="4">
        <v>350</v>
      </c>
      <c r="D138" s="26"/>
      <c r="E138" s="3"/>
      <c r="F138" s="3"/>
      <c r="G138" s="3"/>
      <c r="H138" s="7"/>
      <c r="I138" s="18">
        <f t="shared" si="6"/>
        <v>291.66666666666669</v>
      </c>
      <c r="J138" s="18">
        <f t="shared" si="4"/>
        <v>2916.666666666667</v>
      </c>
    </row>
    <row r="139" spans="1:10" x14ac:dyDescent="0.45">
      <c r="A139" s="3" t="s">
        <v>70</v>
      </c>
      <c r="B139" s="3" t="s">
        <v>18</v>
      </c>
      <c r="C139" s="4">
        <v>750</v>
      </c>
      <c r="D139" s="26"/>
      <c r="E139" s="3"/>
      <c r="F139" s="3"/>
      <c r="G139" s="3">
        <v>4002200001</v>
      </c>
      <c r="H139" s="7"/>
      <c r="I139" s="18">
        <f t="shared" si="6"/>
        <v>625</v>
      </c>
      <c r="J139" s="18">
        <f t="shared" si="4"/>
        <v>6250</v>
      </c>
    </row>
    <row r="140" spans="1:10" x14ac:dyDescent="0.45">
      <c r="A140" s="3" t="s">
        <v>70</v>
      </c>
      <c r="B140" s="3" t="s">
        <v>8</v>
      </c>
      <c r="C140" s="4">
        <v>500</v>
      </c>
      <c r="D140" s="26"/>
      <c r="E140" s="3"/>
      <c r="F140" s="3"/>
      <c r="G140" s="3"/>
      <c r="H140" s="7"/>
      <c r="I140" s="18">
        <f t="shared" si="6"/>
        <v>416.66666666666669</v>
      </c>
      <c r="J140" s="18">
        <f t="shared" si="4"/>
        <v>4166.666666666667</v>
      </c>
    </row>
    <row r="141" spans="1:10" x14ac:dyDescent="0.45">
      <c r="A141" s="35" t="s">
        <v>396</v>
      </c>
      <c r="B141" s="36"/>
      <c r="C141" s="36"/>
      <c r="D141" s="36"/>
      <c r="E141" s="36"/>
      <c r="F141" s="36"/>
      <c r="G141" s="36"/>
      <c r="H141" s="36"/>
      <c r="I141" s="36"/>
      <c r="J141" s="37"/>
    </row>
    <row r="142" spans="1:10" x14ac:dyDescent="0.45">
      <c r="A142" s="3" t="s">
        <v>0</v>
      </c>
      <c r="B142" s="3" t="s">
        <v>1</v>
      </c>
      <c r="C142" s="4" t="s">
        <v>2</v>
      </c>
      <c r="D142" s="26"/>
      <c r="E142" s="3" t="s">
        <v>26</v>
      </c>
      <c r="F142" s="3"/>
      <c r="G142" s="3"/>
      <c r="H142" s="7"/>
      <c r="I142" s="18"/>
      <c r="J142" s="18"/>
    </row>
    <row r="143" spans="1:10" x14ac:dyDescent="0.45">
      <c r="A143" s="3" t="s">
        <v>398</v>
      </c>
      <c r="B143" s="3" t="s">
        <v>397</v>
      </c>
      <c r="C143" s="4">
        <v>750</v>
      </c>
      <c r="D143" s="26">
        <v>44314</v>
      </c>
      <c r="E143" s="3" t="s">
        <v>399</v>
      </c>
      <c r="F143" s="3"/>
      <c r="G143" s="3"/>
      <c r="H143" s="7"/>
      <c r="I143" s="18"/>
      <c r="J143" s="18"/>
    </row>
    <row r="144" spans="1:10" x14ac:dyDescent="0.45">
      <c r="A144" s="3" t="s">
        <v>400</v>
      </c>
      <c r="B144" s="3"/>
      <c r="C144" s="4"/>
      <c r="D144" s="26"/>
      <c r="E144" s="3"/>
      <c r="F144" s="3"/>
      <c r="G144" s="3"/>
      <c r="H144" s="7"/>
      <c r="I144" s="18"/>
      <c r="J144" s="18"/>
    </row>
    <row r="145" spans="1:10" x14ac:dyDescent="0.45">
      <c r="A145" s="3" t="s">
        <v>401</v>
      </c>
      <c r="B145" s="3"/>
      <c r="C145" s="4"/>
      <c r="D145" s="26"/>
      <c r="E145" s="3"/>
      <c r="F145" s="3"/>
      <c r="G145" s="3"/>
      <c r="H145" s="7"/>
      <c r="I145" s="18"/>
      <c r="J145" s="18"/>
    </row>
    <row r="146" spans="1:10" x14ac:dyDescent="0.45">
      <c r="A146" s="3" t="s">
        <v>402</v>
      </c>
      <c r="B146" s="3"/>
      <c r="C146" s="4"/>
      <c r="D146" s="26"/>
      <c r="E146" s="3"/>
      <c r="F146" s="3"/>
      <c r="G146" s="3"/>
      <c r="H146" s="7"/>
      <c r="I146" s="18"/>
      <c r="J146" s="18"/>
    </row>
    <row r="147" spans="1:10" x14ac:dyDescent="0.45">
      <c r="A147" s="3" t="s">
        <v>403</v>
      </c>
      <c r="B147" s="3"/>
      <c r="C147" s="4"/>
      <c r="D147" s="26"/>
      <c r="E147" s="3"/>
      <c r="F147" s="3"/>
      <c r="G147" s="3"/>
      <c r="H147" s="7"/>
      <c r="I147" s="18"/>
      <c r="J147" s="18"/>
    </row>
    <row r="148" spans="1:10" x14ac:dyDescent="0.45">
      <c r="A148" s="3"/>
      <c r="B148" s="3"/>
      <c r="C148" s="4"/>
      <c r="D148" s="26"/>
      <c r="E148" s="3"/>
      <c r="F148" s="3"/>
      <c r="G148" s="3"/>
      <c r="H148" s="7"/>
      <c r="I148" s="18"/>
      <c r="J148" s="18"/>
    </row>
    <row r="149" spans="1:10" x14ac:dyDescent="0.45">
      <c r="A149" s="34" t="s">
        <v>245</v>
      </c>
      <c r="B149" s="34"/>
      <c r="C149" s="34"/>
      <c r="D149" s="34"/>
      <c r="E149" s="34"/>
      <c r="F149" s="34"/>
      <c r="G149" s="34"/>
      <c r="H149" s="34"/>
      <c r="I149" s="18"/>
      <c r="J149" s="18"/>
    </row>
    <row r="150" spans="1:10" x14ac:dyDescent="0.45">
      <c r="A150" s="10" t="s">
        <v>0</v>
      </c>
      <c r="B150" s="10" t="s">
        <v>1</v>
      </c>
      <c r="C150" s="11" t="s">
        <v>2</v>
      </c>
      <c r="D150" s="25"/>
      <c r="E150" s="10" t="s">
        <v>26</v>
      </c>
      <c r="F150" s="10" t="s">
        <v>190</v>
      </c>
      <c r="G150" s="10" t="s">
        <v>269</v>
      </c>
      <c r="H150" s="14" t="s">
        <v>273</v>
      </c>
      <c r="I150" s="18" t="s">
        <v>2</v>
      </c>
      <c r="J150" s="18"/>
    </row>
    <row r="151" spans="1:10" x14ac:dyDescent="0.45">
      <c r="A151" s="10" t="s">
        <v>368</v>
      </c>
      <c r="B151" s="10" t="s">
        <v>256</v>
      </c>
      <c r="C151" s="11">
        <v>3200</v>
      </c>
      <c r="D151" s="25"/>
      <c r="E151" s="10" t="s">
        <v>162</v>
      </c>
      <c r="F151" s="10" t="s">
        <v>300</v>
      </c>
      <c r="G151" s="10"/>
      <c r="H151" s="14"/>
      <c r="I151" s="18">
        <f>C151/(1+$K$6)</f>
        <v>2666.666666666667</v>
      </c>
      <c r="J151" s="18">
        <f t="shared" ref="J151:J223" si="7">I151*$J$6</f>
        <v>26666.666666666672</v>
      </c>
    </row>
    <row r="152" spans="1:10" x14ac:dyDescent="0.45">
      <c r="A152" s="3" t="s">
        <v>367</v>
      </c>
      <c r="B152" s="3" t="s">
        <v>256</v>
      </c>
      <c r="C152" s="4">
        <v>3000</v>
      </c>
      <c r="D152" s="26"/>
      <c r="E152" s="3" t="s">
        <v>281</v>
      </c>
      <c r="F152" s="3" t="s">
        <v>257</v>
      </c>
      <c r="G152" s="3"/>
      <c r="H152" s="7"/>
      <c r="I152" s="18">
        <f>C152/(1+$K$6)</f>
        <v>2500</v>
      </c>
      <c r="J152" s="18">
        <f t="shared" si="7"/>
        <v>25000</v>
      </c>
    </row>
    <row r="153" spans="1:10" x14ac:dyDescent="0.45">
      <c r="A153" s="3" t="s">
        <v>380</v>
      </c>
      <c r="B153" s="3" t="s">
        <v>50</v>
      </c>
      <c r="C153" s="4">
        <v>320</v>
      </c>
      <c r="D153" s="26">
        <v>44249</v>
      </c>
      <c r="E153" s="3" t="s">
        <v>281</v>
      </c>
      <c r="F153" s="3" t="s">
        <v>381</v>
      </c>
      <c r="G153" s="3"/>
      <c r="H153" s="7"/>
      <c r="I153" s="18"/>
      <c r="J153" s="18"/>
    </row>
    <row r="154" spans="1:10" x14ac:dyDescent="0.45">
      <c r="A154" s="3" t="s">
        <v>394</v>
      </c>
      <c r="B154" s="3" t="s">
        <v>50</v>
      </c>
      <c r="C154" s="4">
        <v>200</v>
      </c>
      <c r="D154" s="26">
        <v>44249</v>
      </c>
      <c r="E154" s="3" t="s">
        <v>250</v>
      </c>
      <c r="F154" s="3" t="s">
        <v>395</v>
      </c>
      <c r="G154" s="3"/>
      <c r="H154" s="7"/>
      <c r="I154" s="18"/>
      <c r="J154" s="18"/>
    </row>
    <row r="155" spans="1:10" x14ac:dyDescent="0.45">
      <c r="A155" s="3" t="s">
        <v>365</v>
      </c>
      <c r="B155" s="3" t="s">
        <v>41</v>
      </c>
      <c r="C155" s="4">
        <v>560</v>
      </c>
      <c r="D155" s="26">
        <v>44247</v>
      </c>
      <c r="E155" s="3" t="s">
        <v>281</v>
      </c>
      <c r="F155" s="3" t="s">
        <v>366</v>
      </c>
      <c r="G155" s="3"/>
      <c r="H155" s="7"/>
      <c r="I155" s="18"/>
      <c r="J155" s="18"/>
    </row>
    <row r="156" spans="1:10" x14ac:dyDescent="0.45">
      <c r="A156" s="3" t="s">
        <v>369</v>
      </c>
      <c r="B156" s="3" t="s">
        <v>370</v>
      </c>
      <c r="C156" s="4">
        <v>2800</v>
      </c>
      <c r="D156" s="25">
        <v>44247</v>
      </c>
      <c r="E156" s="10" t="s">
        <v>162</v>
      </c>
      <c r="F156" s="3"/>
      <c r="G156" s="3"/>
      <c r="H156" s="7"/>
      <c r="I156" s="18"/>
      <c r="J156" s="18"/>
    </row>
    <row r="157" spans="1:10" x14ac:dyDescent="0.45">
      <c r="A157" s="3" t="s">
        <v>302</v>
      </c>
      <c r="B157" s="3" t="s">
        <v>301</v>
      </c>
      <c r="C157" s="4">
        <v>400</v>
      </c>
      <c r="D157" s="26"/>
      <c r="E157" s="3" t="s">
        <v>303</v>
      </c>
      <c r="F157" s="3" t="s">
        <v>304</v>
      </c>
      <c r="G157" s="3"/>
      <c r="H157" s="7"/>
      <c r="I157" s="18">
        <f t="shared" ref="I157:I178" si="8">C157/(1+$K$6)</f>
        <v>333.33333333333337</v>
      </c>
      <c r="J157" s="18">
        <f t="shared" si="7"/>
        <v>3333.3333333333339</v>
      </c>
    </row>
    <row r="158" spans="1:10" x14ac:dyDescent="0.45">
      <c r="A158" s="3" t="s">
        <v>305</v>
      </c>
      <c r="B158" s="3"/>
      <c r="C158" s="4">
        <v>200</v>
      </c>
      <c r="D158" s="26"/>
      <c r="E158" s="3"/>
      <c r="F158" s="3"/>
      <c r="G158" s="3"/>
      <c r="H158" s="7"/>
      <c r="I158" s="18">
        <f t="shared" si="8"/>
        <v>166.66666666666669</v>
      </c>
      <c r="J158" s="18">
        <f t="shared" si="7"/>
        <v>1666.666666666667</v>
      </c>
    </row>
    <row r="159" spans="1:10" x14ac:dyDescent="0.45">
      <c r="A159" s="3" t="s">
        <v>310</v>
      </c>
      <c r="B159" s="3"/>
      <c r="C159" s="4">
        <v>200</v>
      </c>
      <c r="D159" s="26"/>
      <c r="E159" s="3"/>
      <c r="F159" s="3"/>
      <c r="G159" s="3"/>
      <c r="H159" s="7"/>
      <c r="I159" s="18">
        <f t="shared" si="8"/>
        <v>166.66666666666669</v>
      </c>
      <c r="J159" s="18">
        <f t="shared" si="7"/>
        <v>1666.666666666667</v>
      </c>
    </row>
    <row r="160" spans="1:10" x14ac:dyDescent="0.45">
      <c r="A160" s="3" t="s">
        <v>306</v>
      </c>
      <c r="B160" s="3"/>
      <c r="C160" s="4">
        <v>100</v>
      </c>
      <c r="D160" s="26"/>
      <c r="E160" s="3"/>
      <c r="F160" s="3"/>
      <c r="G160" s="3"/>
      <c r="H160" s="7"/>
      <c r="I160" s="18">
        <f t="shared" si="8"/>
        <v>83.333333333333343</v>
      </c>
      <c r="J160" s="18">
        <f t="shared" si="7"/>
        <v>833.33333333333348</v>
      </c>
    </row>
    <row r="161" spans="1:10" x14ac:dyDescent="0.45">
      <c r="A161" s="3" t="s">
        <v>307</v>
      </c>
      <c r="B161" s="3"/>
      <c r="C161" s="4">
        <v>40</v>
      </c>
      <c r="D161" s="26"/>
      <c r="E161" s="3"/>
      <c r="F161" s="3"/>
      <c r="G161" s="3"/>
      <c r="H161" s="7"/>
      <c r="I161" s="18">
        <f t="shared" si="8"/>
        <v>33.333333333333336</v>
      </c>
      <c r="J161" s="18">
        <f t="shared" si="7"/>
        <v>333.33333333333337</v>
      </c>
    </row>
    <row r="162" spans="1:10" x14ac:dyDescent="0.45">
      <c r="A162" s="3" t="s">
        <v>17</v>
      </c>
      <c r="B162" s="3" t="s">
        <v>16</v>
      </c>
      <c r="C162" s="4">
        <v>2500</v>
      </c>
      <c r="D162" s="26"/>
      <c r="E162" s="3"/>
      <c r="F162" s="3"/>
      <c r="G162" s="3"/>
      <c r="H162" s="7"/>
      <c r="I162" s="18">
        <f t="shared" si="8"/>
        <v>2083.3333333333335</v>
      </c>
      <c r="J162" s="18">
        <f t="shared" si="7"/>
        <v>20833.333333333336</v>
      </c>
    </row>
    <row r="163" spans="1:10" x14ac:dyDescent="0.45">
      <c r="A163" s="3" t="s">
        <v>382</v>
      </c>
      <c r="B163" s="3" t="s">
        <v>50</v>
      </c>
      <c r="C163" s="4">
        <v>400</v>
      </c>
      <c r="D163" s="26">
        <v>44249</v>
      </c>
      <c r="E163" s="3" t="s">
        <v>281</v>
      </c>
      <c r="F163" s="3" t="s">
        <v>223</v>
      </c>
      <c r="G163" s="3"/>
      <c r="H163" s="7"/>
      <c r="I163" s="18">
        <f t="shared" si="8"/>
        <v>333.33333333333337</v>
      </c>
      <c r="J163" s="18">
        <f t="shared" si="7"/>
        <v>3333.3333333333339</v>
      </c>
    </row>
    <row r="164" spans="1:10" x14ac:dyDescent="0.45">
      <c r="A164" s="3" t="s">
        <v>386</v>
      </c>
      <c r="B164" s="3" t="s">
        <v>20</v>
      </c>
      <c r="C164" s="4">
        <v>540</v>
      </c>
      <c r="D164" s="26">
        <v>44249</v>
      </c>
      <c r="E164" s="3" t="s">
        <v>385</v>
      </c>
      <c r="F164" s="3"/>
      <c r="G164" s="3"/>
      <c r="H164" s="7"/>
      <c r="I164" s="18">
        <f t="shared" si="8"/>
        <v>450</v>
      </c>
      <c r="J164" s="18">
        <f t="shared" si="7"/>
        <v>4500</v>
      </c>
    </row>
    <row r="165" spans="1:10" x14ac:dyDescent="0.45">
      <c r="A165" s="3" t="s">
        <v>387</v>
      </c>
      <c r="B165" s="3" t="s">
        <v>41</v>
      </c>
      <c r="C165" s="4">
        <v>390</v>
      </c>
      <c r="D165" s="26">
        <v>44249</v>
      </c>
      <c r="E165" s="3" t="s">
        <v>392</v>
      </c>
      <c r="F165" s="3" t="s">
        <v>391</v>
      </c>
      <c r="G165" s="3"/>
      <c r="H165" s="7"/>
      <c r="I165" s="18">
        <f t="shared" si="8"/>
        <v>325</v>
      </c>
      <c r="J165" s="18">
        <f t="shared" si="7"/>
        <v>3250</v>
      </c>
    </row>
    <row r="166" spans="1:10" x14ac:dyDescent="0.45">
      <c r="A166" s="3" t="s">
        <v>383</v>
      </c>
      <c r="B166" s="3"/>
      <c r="C166" s="4">
        <v>630</v>
      </c>
      <c r="D166" s="26">
        <v>44249</v>
      </c>
      <c r="E166" s="3" t="s">
        <v>392</v>
      </c>
      <c r="F166" s="3" t="s">
        <v>390</v>
      </c>
      <c r="G166" s="3"/>
      <c r="H166" s="7"/>
      <c r="I166" s="18"/>
      <c r="J166" s="18"/>
    </row>
    <row r="167" spans="1:10" x14ac:dyDescent="0.45">
      <c r="A167" s="3" t="s">
        <v>389</v>
      </c>
      <c r="B167" s="3" t="s">
        <v>354</v>
      </c>
      <c r="C167" s="4">
        <v>450</v>
      </c>
      <c r="D167" s="26">
        <v>44249</v>
      </c>
      <c r="E167" s="3" t="s">
        <v>281</v>
      </c>
      <c r="F167" s="3" t="s">
        <v>375</v>
      </c>
      <c r="G167" s="3"/>
      <c r="H167" s="7"/>
      <c r="I167" s="18">
        <f t="shared" si="8"/>
        <v>375</v>
      </c>
      <c r="J167" s="18">
        <f t="shared" si="7"/>
        <v>3750</v>
      </c>
    </row>
    <row r="168" spans="1:10" x14ac:dyDescent="0.45">
      <c r="A168" s="3" t="s">
        <v>388</v>
      </c>
      <c r="B168" s="3" t="s">
        <v>50</v>
      </c>
      <c r="C168" s="4">
        <v>370</v>
      </c>
      <c r="D168" s="26">
        <v>44249</v>
      </c>
      <c r="E168" s="3" t="s">
        <v>281</v>
      </c>
      <c r="F168" s="3" t="s">
        <v>376</v>
      </c>
      <c r="G168" s="3"/>
      <c r="H168" s="7"/>
      <c r="I168" s="18">
        <f t="shared" si="8"/>
        <v>308.33333333333337</v>
      </c>
      <c r="J168" s="18">
        <f t="shared" si="7"/>
        <v>3083.3333333333339</v>
      </c>
    </row>
    <row r="169" spans="1:10" x14ac:dyDescent="0.45">
      <c r="A169" s="3" t="s">
        <v>228</v>
      </c>
      <c r="B169" s="3"/>
      <c r="C169" s="4">
        <v>70</v>
      </c>
      <c r="D169" s="26"/>
      <c r="E169" s="3"/>
      <c r="F169" s="3"/>
      <c r="G169" s="3"/>
      <c r="H169" s="7"/>
      <c r="I169" s="18">
        <f t="shared" si="8"/>
        <v>58.333333333333336</v>
      </c>
      <c r="J169" s="18">
        <f t="shared" si="7"/>
        <v>583.33333333333337</v>
      </c>
    </row>
    <row r="170" spans="1:10" x14ac:dyDescent="0.45">
      <c r="A170" s="3" t="s">
        <v>371</v>
      </c>
      <c r="B170" s="3"/>
      <c r="C170" s="4">
        <v>80</v>
      </c>
      <c r="D170" s="26">
        <v>44247</v>
      </c>
      <c r="E170" s="3" t="s">
        <v>281</v>
      </c>
      <c r="F170" s="3" t="s">
        <v>372</v>
      </c>
      <c r="G170" s="3"/>
      <c r="H170" s="7"/>
      <c r="I170" s="18">
        <f t="shared" si="8"/>
        <v>66.666666666666671</v>
      </c>
      <c r="J170" s="18">
        <f t="shared" si="7"/>
        <v>666.66666666666674</v>
      </c>
    </row>
    <row r="171" spans="1:10" x14ac:dyDescent="0.45">
      <c r="A171" s="3" t="s">
        <v>393</v>
      </c>
      <c r="B171" s="3" t="s">
        <v>71</v>
      </c>
      <c r="C171" s="4">
        <v>800</v>
      </c>
      <c r="D171" s="26"/>
      <c r="E171" s="3"/>
      <c r="F171" s="3"/>
      <c r="G171" s="3"/>
      <c r="H171" s="7"/>
      <c r="I171" s="18">
        <f t="shared" si="8"/>
        <v>666.66666666666674</v>
      </c>
      <c r="J171" s="18">
        <f t="shared" si="7"/>
        <v>6666.6666666666679</v>
      </c>
    </row>
    <row r="172" spans="1:10" x14ac:dyDescent="0.45">
      <c r="A172" s="3" t="s">
        <v>229</v>
      </c>
      <c r="B172" s="3"/>
      <c r="C172" s="4">
        <v>300</v>
      </c>
      <c r="D172" s="26"/>
      <c r="E172" s="3"/>
      <c r="F172" s="3"/>
      <c r="G172" s="3"/>
      <c r="H172" s="7"/>
      <c r="I172" s="18">
        <f t="shared" si="8"/>
        <v>250</v>
      </c>
      <c r="J172" s="18">
        <f t="shared" si="7"/>
        <v>2500</v>
      </c>
    </row>
    <row r="173" spans="1:10" x14ac:dyDescent="0.45">
      <c r="A173" s="3" t="s">
        <v>28</v>
      </c>
      <c r="B173" s="3" t="s">
        <v>289</v>
      </c>
      <c r="C173" s="4">
        <v>200</v>
      </c>
      <c r="D173" s="26"/>
      <c r="E173" s="3"/>
      <c r="F173" s="3"/>
      <c r="G173" s="3"/>
      <c r="H173" s="7"/>
      <c r="I173" s="18">
        <f t="shared" si="8"/>
        <v>166.66666666666669</v>
      </c>
      <c r="J173" s="18">
        <f t="shared" si="7"/>
        <v>1666.666666666667</v>
      </c>
    </row>
    <row r="174" spans="1:10" x14ac:dyDescent="0.45">
      <c r="A174" s="3" t="s">
        <v>27</v>
      </c>
      <c r="B174" s="3"/>
      <c r="C174" s="4">
        <v>80</v>
      </c>
      <c r="D174" s="26"/>
      <c r="E174" s="3"/>
      <c r="F174" s="3"/>
      <c r="G174" s="3"/>
      <c r="H174" s="7"/>
      <c r="I174" s="18">
        <f t="shared" si="8"/>
        <v>66.666666666666671</v>
      </c>
      <c r="J174" s="18">
        <f t="shared" si="7"/>
        <v>666.66666666666674</v>
      </c>
    </row>
    <row r="175" spans="1:10" x14ac:dyDescent="0.45">
      <c r="A175" s="3" t="s">
        <v>278</v>
      </c>
      <c r="B175" s="3"/>
      <c r="C175" s="4">
        <v>300</v>
      </c>
      <c r="D175" s="26"/>
      <c r="E175" s="3" t="s">
        <v>281</v>
      </c>
      <c r="F175" s="3"/>
      <c r="G175" s="3">
        <v>30004020006</v>
      </c>
      <c r="H175" s="7"/>
      <c r="I175" s="18">
        <f t="shared" si="8"/>
        <v>250</v>
      </c>
      <c r="J175" s="18">
        <f t="shared" si="7"/>
        <v>2500</v>
      </c>
    </row>
    <row r="176" spans="1:10" x14ac:dyDescent="0.45">
      <c r="A176" s="3" t="s">
        <v>279</v>
      </c>
      <c r="B176" s="3"/>
      <c r="C176" s="4">
        <v>150</v>
      </c>
      <c r="D176" s="26"/>
      <c r="E176" s="3" t="s">
        <v>281</v>
      </c>
      <c r="F176" s="3"/>
      <c r="G176" s="3">
        <v>30004020007</v>
      </c>
      <c r="H176" s="7"/>
      <c r="I176" s="18">
        <f t="shared" si="8"/>
        <v>125</v>
      </c>
      <c r="J176" s="18">
        <f t="shared" si="7"/>
        <v>1250</v>
      </c>
    </row>
    <row r="177" spans="1:10" x14ac:dyDescent="0.45">
      <c r="A177" s="3" t="s">
        <v>280</v>
      </c>
      <c r="B177" s="3"/>
      <c r="C177" s="4">
        <v>150</v>
      </c>
      <c r="D177" s="26"/>
      <c r="E177" s="3" t="s">
        <v>281</v>
      </c>
      <c r="F177" s="3"/>
      <c r="G177" s="3">
        <v>30004020011</v>
      </c>
      <c r="H177" s="7"/>
      <c r="I177" s="18">
        <f t="shared" si="8"/>
        <v>125</v>
      </c>
      <c r="J177" s="18">
        <f t="shared" si="7"/>
        <v>1250</v>
      </c>
    </row>
    <row r="178" spans="1:10" x14ac:dyDescent="0.45">
      <c r="A178" s="3" t="s">
        <v>384</v>
      </c>
      <c r="B178" s="3"/>
      <c r="C178" s="4">
        <v>320</v>
      </c>
      <c r="D178" s="26">
        <v>44249</v>
      </c>
      <c r="E178" s="3" t="s">
        <v>281</v>
      </c>
      <c r="F178" s="3" t="s">
        <v>377</v>
      </c>
      <c r="G178" s="3"/>
      <c r="H178" s="7"/>
      <c r="I178" s="18">
        <f t="shared" si="8"/>
        <v>266.66666666666669</v>
      </c>
      <c r="J178" s="18">
        <f t="shared" si="7"/>
        <v>2666.666666666667</v>
      </c>
    </row>
    <row r="179" spans="1:10" x14ac:dyDescent="0.45">
      <c r="A179" s="34" t="s">
        <v>132</v>
      </c>
      <c r="B179" s="34"/>
      <c r="C179" s="34"/>
      <c r="D179" s="34"/>
      <c r="E179" s="34"/>
      <c r="F179" s="34"/>
      <c r="G179" s="34"/>
      <c r="H179" s="34"/>
      <c r="I179" s="18"/>
      <c r="J179" s="18"/>
    </row>
    <row r="180" spans="1:10" x14ac:dyDescent="0.45">
      <c r="A180" s="10" t="s">
        <v>0</v>
      </c>
      <c r="B180" s="10" t="s">
        <v>1</v>
      </c>
      <c r="C180" s="11" t="s">
        <v>2</v>
      </c>
      <c r="D180" s="25"/>
      <c r="E180" s="10" t="s">
        <v>26</v>
      </c>
      <c r="F180" s="10" t="s">
        <v>190</v>
      </c>
      <c r="G180" s="10" t="s">
        <v>269</v>
      </c>
      <c r="H180" s="14" t="s">
        <v>273</v>
      </c>
      <c r="I180" s="18" t="s">
        <v>2</v>
      </c>
      <c r="J180" s="18"/>
    </row>
    <row r="181" spans="1:10" x14ac:dyDescent="0.45">
      <c r="A181" s="3" t="s">
        <v>25</v>
      </c>
      <c r="B181" s="3" t="s">
        <v>41</v>
      </c>
      <c r="C181" s="4">
        <v>180</v>
      </c>
      <c r="D181" s="26"/>
      <c r="E181" s="3" t="s">
        <v>140</v>
      </c>
      <c r="F181" s="3" t="s">
        <v>139</v>
      </c>
      <c r="G181" s="3"/>
      <c r="H181" s="7"/>
      <c r="I181" s="18">
        <f t="shared" ref="I181:I212" si="9">C181/(1+$K$6)</f>
        <v>150</v>
      </c>
      <c r="J181" s="18">
        <f t="shared" si="7"/>
        <v>1500</v>
      </c>
    </row>
    <row r="182" spans="1:10" x14ac:dyDescent="0.45">
      <c r="A182" s="3" t="s">
        <v>25</v>
      </c>
      <c r="B182" s="3" t="s">
        <v>82</v>
      </c>
      <c r="C182" s="4">
        <v>240</v>
      </c>
      <c r="D182" s="26"/>
      <c r="E182" s="3" t="s">
        <v>89</v>
      </c>
      <c r="F182" s="3" t="s">
        <v>141</v>
      </c>
      <c r="G182" s="3"/>
      <c r="H182" s="7"/>
      <c r="I182" s="18">
        <f t="shared" si="9"/>
        <v>200</v>
      </c>
      <c r="J182" s="18">
        <f t="shared" si="7"/>
        <v>2000</v>
      </c>
    </row>
    <row r="183" spans="1:10" x14ac:dyDescent="0.45">
      <c r="A183" s="3" t="s">
        <v>25</v>
      </c>
      <c r="B183" s="3" t="s">
        <v>41</v>
      </c>
      <c r="C183" s="4">
        <v>180</v>
      </c>
      <c r="D183" s="26"/>
      <c r="E183" s="3" t="s">
        <v>89</v>
      </c>
      <c r="F183" s="3" t="s">
        <v>142</v>
      </c>
      <c r="G183" s="3"/>
      <c r="H183" s="7"/>
      <c r="I183" s="18">
        <f t="shared" si="9"/>
        <v>150</v>
      </c>
      <c r="J183" s="18">
        <f t="shared" si="7"/>
        <v>1500</v>
      </c>
    </row>
    <row r="184" spans="1:10" x14ac:dyDescent="0.45">
      <c r="A184" s="3" t="s">
        <v>25</v>
      </c>
      <c r="B184" s="3" t="s">
        <v>84</v>
      </c>
      <c r="C184" s="4">
        <v>370</v>
      </c>
      <c r="D184" s="26"/>
      <c r="E184" s="3" t="s">
        <v>143</v>
      </c>
      <c r="F184" s="3" t="s">
        <v>144</v>
      </c>
      <c r="G184" s="3"/>
      <c r="H184" s="7"/>
      <c r="I184" s="18">
        <f t="shared" si="9"/>
        <v>308.33333333333337</v>
      </c>
      <c r="J184" s="18">
        <f t="shared" si="7"/>
        <v>3083.3333333333339</v>
      </c>
    </row>
    <row r="185" spans="1:10" x14ac:dyDescent="0.45">
      <c r="A185" s="3" t="s">
        <v>25</v>
      </c>
      <c r="B185" s="3" t="s">
        <v>49</v>
      </c>
      <c r="C185" s="4">
        <v>150</v>
      </c>
      <c r="D185" s="26"/>
      <c r="E185" s="3" t="s">
        <v>143</v>
      </c>
      <c r="F185" s="3" t="s">
        <v>145</v>
      </c>
      <c r="G185" s="3"/>
      <c r="H185" s="7"/>
      <c r="I185" s="18">
        <f t="shared" si="9"/>
        <v>125</v>
      </c>
      <c r="J185" s="18">
        <f t="shared" si="7"/>
        <v>1250</v>
      </c>
    </row>
    <row r="186" spans="1:10" x14ac:dyDescent="0.45">
      <c r="A186" s="3" t="s">
        <v>25</v>
      </c>
      <c r="B186" s="3" t="s">
        <v>83</v>
      </c>
      <c r="C186" s="4">
        <v>270</v>
      </c>
      <c r="D186" s="26"/>
      <c r="E186" s="3" t="s">
        <v>129</v>
      </c>
      <c r="F186" s="3" t="s">
        <v>146</v>
      </c>
      <c r="G186" s="3"/>
      <c r="H186" s="7"/>
      <c r="I186" s="18">
        <f t="shared" si="9"/>
        <v>225</v>
      </c>
      <c r="J186" s="18">
        <f t="shared" si="7"/>
        <v>2250</v>
      </c>
    </row>
    <row r="187" spans="1:10" x14ac:dyDescent="0.45">
      <c r="A187" s="3" t="s">
        <v>25</v>
      </c>
      <c r="B187" s="3" t="s">
        <v>41</v>
      </c>
      <c r="C187" s="4">
        <v>160</v>
      </c>
      <c r="D187" s="26"/>
      <c r="E187" s="3" t="s">
        <v>128</v>
      </c>
      <c r="F187" s="3" t="s">
        <v>147</v>
      </c>
      <c r="G187" s="3"/>
      <c r="H187" s="7"/>
      <c r="I187" s="18">
        <f t="shared" si="9"/>
        <v>133.33333333333334</v>
      </c>
      <c r="J187" s="18">
        <f t="shared" si="7"/>
        <v>1333.3333333333335</v>
      </c>
    </row>
    <row r="188" spans="1:10" x14ac:dyDescent="0.45">
      <c r="A188" s="3" t="s">
        <v>25</v>
      </c>
      <c r="B188" s="3" t="s">
        <v>41</v>
      </c>
      <c r="C188" s="4">
        <v>170</v>
      </c>
      <c r="D188" s="26"/>
      <c r="E188" s="3" t="s">
        <v>92</v>
      </c>
      <c r="F188" s="3" t="s">
        <v>148</v>
      </c>
      <c r="G188" s="3"/>
      <c r="H188" s="7"/>
      <c r="I188" s="18">
        <f t="shared" si="9"/>
        <v>141.66666666666669</v>
      </c>
      <c r="J188" s="18">
        <f t="shared" si="7"/>
        <v>1416.666666666667</v>
      </c>
    </row>
    <row r="189" spans="1:10" x14ac:dyDescent="0.45">
      <c r="A189" s="3" t="s">
        <v>25</v>
      </c>
      <c r="B189" s="3" t="s">
        <v>83</v>
      </c>
      <c r="C189" s="4">
        <v>280</v>
      </c>
      <c r="D189" s="26"/>
      <c r="E189" s="3" t="s">
        <v>149</v>
      </c>
      <c r="F189" s="3" t="s">
        <v>150</v>
      </c>
      <c r="G189" s="3"/>
      <c r="H189" s="7"/>
      <c r="I189" s="18">
        <f t="shared" si="9"/>
        <v>233.33333333333334</v>
      </c>
      <c r="J189" s="18">
        <f t="shared" si="7"/>
        <v>2333.3333333333335</v>
      </c>
    </row>
    <row r="190" spans="1:10" x14ac:dyDescent="0.45">
      <c r="A190" s="3" t="s">
        <v>25</v>
      </c>
      <c r="B190" s="3" t="s">
        <v>151</v>
      </c>
      <c r="C190" s="4">
        <v>150</v>
      </c>
      <c r="D190" s="26"/>
      <c r="E190" s="3" t="s">
        <v>89</v>
      </c>
      <c r="F190" s="3" t="s">
        <v>152</v>
      </c>
      <c r="G190" s="3"/>
      <c r="H190" s="7"/>
      <c r="I190" s="18">
        <f t="shared" si="9"/>
        <v>125</v>
      </c>
      <c r="J190" s="18">
        <f t="shared" si="7"/>
        <v>1250</v>
      </c>
    </row>
    <row r="191" spans="1:10" x14ac:dyDescent="0.45">
      <c r="A191" s="3" t="s">
        <v>25</v>
      </c>
      <c r="B191" s="3" t="s">
        <v>41</v>
      </c>
      <c r="C191" s="4">
        <v>160</v>
      </c>
      <c r="D191" s="26"/>
      <c r="E191" s="3" t="s">
        <v>126</v>
      </c>
      <c r="F191" s="3" t="s">
        <v>153</v>
      </c>
      <c r="G191" s="3"/>
      <c r="H191" s="7"/>
      <c r="I191" s="18">
        <f t="shared" si="9"/>
        <v>133.33333333333334</v>
      </c>
      <c r="J191" s="18">
        <f t="shared" si="7"/>
        <v>1333.3333333333335</v>
      </c>
    </row>
    <row r="192" spans="1:10" x14ac:dyDescent="0.45">
      <c r="A192" s="3" t="s">
        <v>25</v>
      </c>
      <c r="B192" s="3" t="s">
        <v>83</v>
      </c>
      <c r="C192" s="4">
        <v>310</v>
      </c>
      <c r="D192" s="26"/>
      <c r="E192" s="3" t="s">
        <v>155</v>
      </c>
      <c r="F192" s="3" t="s">
        <v>154</v>
      </c>
      <c r="G192" s="3"/>
      <c r="H192" s="7"/>
      <c r="I192" s="18">
        <f t="shared" si="9"/>
        <v>258.33333333333337</v>
      </c>
      <c r="J192" s="18">
        <f t="shared" si="7"/>
        <v>2583.3333333333339</v>
      </c>
    </row>
    <row r="193" spans="1:10" x14ac:dyDescent="0.45">
      <c r="A193" s="3" t="s">
        <v>25</v>
      </c>
      <c r="B193" s="3" t="s">
        <v>82</v>
      </c>
      <c r="C193" s="4">
        <v>260</v>
      </c>
      <c r="D193" s="26"/>
      <c r="E193" s="3" t="s">
        <v>119</v>
      </c>
      <c r="F193" s="3" t="s">
        <v>156</v>
      </c>
      <c r="G193" s="3"/>
      <c r="H193" s="7"/>
      <c r="I193" s="18">
        <f t="shared" si="9"/>
        <v>216.66666666666669</v>
      </c>
      <c r="J193" s="18">
        <f t="shared" si="7"/>
        <v>2166.666666666667</v>
      </c>
    </row>
    <row r="194" spans="1:10" x14ac:dyDescent="0.45">
      <c r="A194" s="3" t="s">
        <v>25</v>
      </c>
      <c r="B194" s="3" t="s">
        <v>82</v>
      </c>
      <c r="C194" s="4">
        <v>320</v>
      </c>
      <c r="D194" s="26"/>
      <c r="E194" s="3" t="s">
        <v>208</v>
      </c>
      <c r="F194" s="3" t="s">
        <v>157</v>
      </c>
      <c r="G194" s="3"/>
      <c r="H194" s="7"/>
      <c r="I194" s="18">
        <f t="shared" si="9"/>
        <v>266.66666666666669</v>
      </c>
      <c r="J194" s="18">
        <f t="shared" si="7"/>
        <v>2666.666666666667</v>
      </c>
    </row>
    <row r="195" spans="1:10" x14ac:dyDescent="0.45">
      <c r="A195" s="3" t="s">
        <v>25</v>
      </c>
      <c r="B195" s="3" t="s">
        <v>83</v>
      </c>
      <c r="C195" s="4">
        <v>270</v>
      </c>
      <c r="D195" s="26"/>
      <c r="E195" s="3" t="s">
        <v>159</v>
      </c>
      <c r="F195" s="3" t="s">
        <v>158</v>
      </c>
      <c r="G195" s="3"/>
      <c r="H195" s="7"/>
      <c r="I195" s="18">
        <f t="shared" si="9"/>
        <v>225</v>
      </c>
      <c r="J195" s="18">
        <f t="shared" si="7"/>
        <v>2250</v>
      </c>
    </row>
    <row r="196" spans="1:10" x14ac:dyDescent="0.45">
      <c r="A196" s="3" t="s">
        <v>25</v>
      </c>
      <c r="B196" s="3" t="s">
        <v>83</v>
      </c>
      <c r="C196" s="4">
        <v>820</v>
      </c>
      <c r="D196" s="26"/>
      <c r="E196" s="3" t="s">
        <v>109</v>
      </c>
      <c r="F196" s="3" t="s">
        <v>160</v>
      </c>
      <c r="G196" s="3"/>
      <c r="H196" s="7"/>
      <c r="I196" s="18">
        <f t="shared" si="9"/>
        <v>683.33333333333337</v>
      </c>
      <c r="J196" s="18">
        <f t="shared" si="7"/>
        <v>6833.3333333333339</v>
      </c>
    </row>
    <row r="197" spans="1:10" x14ac:dyDescent="0.45">
      <c r="A197" s="3" t="s">
        <v>25</v>
      </c>
      <c r="B197" s="3" t="s">
        <v>83</v>
      </c>
      <c r="C197" s="4">
        <v>280</v>
      </c>
      <c r="D197" s="26"/>
      <c r="E197" s="3" t="s">
        <v>161</v>
      </c>
      <c r="F197" s="3" t="s">
        <v>150</v>
      </c>
      <c r="G197" s="3"/>
      <c r="H197" s="7"/>
      <c r="I197" s="18">
        <f t="shared" si="9"/>
        <v>233.33333333333334</v>
      </c>
      <c r="J197" s="18">
        <f t="shared" si="7"/>
        <v>2333.3333333333335</v>
      </c>
    </row>
    <row r="198" spans="1:10" x14ac:dyDescent="0.45">
      <c r="A198" s="3" t="s">
        <v>25</v>
      </c>
      <c r="B198" s="3" t="s">
        <v>83</v>
      </c>
      <c r="C198" s="4">
        <v>260</v>
      </c>
      <c r="D198" s="26"/>
      <c r="E198" s="3" t="s">
        <v>162</v>
      </c>
      <c r="F198" s="3" t="s">
        <v>163</v>
      </c>
      <c r="G198" s="3"/>
      <c r="H198" s="7"/>
      <c r="I198" s="18">
        <f t="shared" si="9"/>
        <v>216.66666666666669</v>
      </c>
      <c r="J198" s="18">
        <f t="shared" si="7"/>
        <v>2166.666666666667</v>
      </c>
    </row>
    <row r="199" spans="1:10" x14ac:dyDescent="0.45">
      <c r="A199" s="3" t="s">
        <v>25</v>
      </c>
      <c r="B199" s="3" t="s">
        <v>82</v>
      </c>
      <c r="C199" s="4">
        <v>290</v>
      </c>
      <c r="D199" s="26"/>
      <c r="E199" s="3" t="s">
        <v>165</v>
      </c>
      <c r="F199" s="3" t="s">
        <v>164</v>
      </c>
      <c r="G199" s="3"/>
      <c r="H199" s="7"/>
      <c r="I199" s="18">
        <f t="shared" si="9"/>
        <v>241.66666666666669</v>
      </c>
      <c r="J199" s="18">
        <f t="shared" si="7"/>
        <v>2416.666666666667</v>
      </c>
    </row>
    <row r="200" spans="1:10" x14ac:dyDescent="0.45">
      <c r="A200" s="3" t="s">
        <v>25</v>
      </c>
      <c r="B200" s="3" t="s">
        <v>82</v>
      </c>
      <c r="C200" s="4">
        <v>360</v>
      </c>
      <c r="D200" s="26"/>
      <c r="E200" s="3" t="s">
        <v>116</v>
      </c>
      <c r="F200" s="3" t="s">
        <v>166</v>
      </c>
      <c r="G200" s="3"/>
      <c r="H200" s="7"/>
      <c r="I200" s="18">
        <f t="shared" si="9"/>
        <v>300</v>
      </c>
      <c r="J200" s="18">
        <f t="shared" si="7"/>
        <v>3000</v>
      </c>
    </row>
    <row r="201" spans="1:10" x14ac:dyDescent="0.45">
      <c r="A201" s="3" t="s">
        <v>25</v>
      </c>
      <c r="B201" s="3" t="s">
        <v>50</v>
      </c>
      <c r="C201" s="4">
        <v>170</v>
      </c>
      <c r="D201" s="26"/>
      <c r="E201" s="3" t="s">
        <v>162</v>
      </c>
      <c r="F201" s="3" t="s">
        <v>167</v>
      </c>
      <c r="G201" s="3"/>
      <c r="H201" s="7"/>
      <c r="I201" s="18">
        <f t="shared" si="9"/>
        <v>141.66666666666669</v>
      </c>
      <c r="J201" s="18">
        <f t="shared" si="7"/>
        <v>1416.666666666667</v>
      </c>
    </row>
    <row r="202" spans="1:10" x14ac:dyDescent="0.45">
      <c r="A202" s="3" t="s">
        <v>25</v>
      </c>
      <c r="B202" s="3" t="s">
        <v>50</v>
      </c>
      <c r="C202" s="4">
        <v>240</v>
      </c>
      <c r="D202" s="26"/>
      <c r="E202" s="3" t="s">
        <v>175</v>
      </c>
      <c r="F202" s="3" t="s">
        <v>168</v>
      </c>
      <c r="G202" s="3"/>
      <c r="H202" s="7"/>
      <c r="I202" s="18">
        <f t="shared" si="9"/>
        <v>200</v>
      </c>
      <c r="J202" s="18">
        <f t="shared" si="7"/>
        <v>2000</v>
      </c>
    </row>
    <row r="203" spans="1:10" x14ac:dyDescent="0.45">
      <c r="A203" s="3" t="s">
        <v>25</v>
      </c>
      <c r="B203" s="3" t="s">
        <v>50</v>
      </c>
      <c r="C203" s="4">
        <v>150</v>
      </c>
      <c r="D203" s="26"/>
      <c r="E203" s="3" t="s">
        <v>209</v>
      </c>
      <c r="F203" s="3" t="s">
        <v>169</v>
      </c>
      <c r="G203" s="3"/>
      <c r="H203" s="7"/>
      <c r="I203" s="18">
        <f t="shared" si="9"/>
        <v>125</v>
      </c>
      <c r="J203" s="18">
        <f t="shared" si="7"/>
        <v>1250</v>
      </c>
    </row>
    <row r="204" spans="1:10" x14ac:dyDescent="0.45">
      <c r="A204" s="3" t="s">
        <v>25</v>
      </c>
      <c r="B204" s="3" t="s">
        <v>41</v>
      </c>
      <c r="C204" s="4">
        <v>210</v>
      </c>
      <c r="D204" s="26"/>
      <c r="E204" s="3" t="s">
        <v>176</v>
      </c>
      <c r="F204" s="3" t="s">
        <v>170</v>
      </c>
      <c r="G204" s="3"/>
      <c r="H204" s="7"/>
      <c r="I204" s="18">
        <f t="shared" si="9"/>
        <v>175</v>
      </c>
      <c r="J204" s="18">
        <f t="shared" si="7"/>
        <v>1750</v>
      </c>
    </row>
    <row r="205" spans="1:10" x14ac:dyDescent="0.45">
      <c r="A205" s="3" t="s">
        <v>25</v>
      </c>
      <c r="B205" s="3" t="s">
        <v>41</v>
      </c>
      <c r="C205" s="4">
        <v>170</v>
      </c>
      <c r="D205" s="26"/>
      <c r="E205" s="3" t="s">
        <v>92</v>
      </c>
      <c r="F205" s="3" t="s">
        <v>148</v>
      </c>
      <c r="G205" s="3"/>
      <c r="H205" s="7"/>
      <c r="I205" s="18">
        <f t="shared" si="9"/>
        <v>141.66666666666669</v>
      </c>
      <c r="J205" s="18">
        <f t="shared" si="7"/>
        <v>1416.666666666667</v>
      </c>
    </row>
    <row r="206" spans="1:10" x14ac:dyDescent="0.45">
      <c r="A206" s="3" t="s">
        <v>25</v>
      </c>
      <c r="B206" s="3" t="s">
        <v>50</v>
      </c>
      <c r="C206" s="4">
        <v>340</v>
      </c>
      <c r="D206" s="26"/>
      <c r="E206" s="3" t="s">
        <v>177</v>
      </c>
      <c r="F206" s="3" t="s">
        <v>171</v>
      </c>
      <c r="G206" s="3"/>
      <c r="H206" s="7"/>
      <c r="I206" s="18">
        <f t="shared" si="9"/>
        <v>283.33333333333337</v>
      </c>
      <c r="J206" s="18">
        <f t="shared" si="7"/>
        <v>2833.3333333333339</v>
      </c>
    </row>
    <row r="207" spans="1:10" x14ac:dyDescent="0.45">
      <c r="A207" s="3" t="s">
        <v>25</v>
      </c>
      <c r="B207" s="3" t="s">
        <v>41</v>
      </c>
      <c r="C207" s="4">
        <v>160</v>
      </c>
      <c r="D207" s="26"/>
      <c r="E207" s="3" t="s">
        <v>178</v>
      </c>
      <c r="F207" s="3" t="s">
        <v>172</v>
      </c>
      <c r="G207" s="3"/>
      <c r="H207" s="7"/>
      <c r="I207" s="18">
        <f t="shared" si="9"/>
        <v>133.33333333333334</v>
      </c>
      <c r="J207" s="18">
        <f t="shared" si="7"/>
        <v>1333.3333333333335</v>
      </c>
    </row>
    <row r="208" spans="1:10" x14ac:dyDescent="0.45">
      <c r="A208" s="3" t="s">
        <v>25</v>
      </c>
      <c r="B208" s="3" t="s">
        <v>41</v>
      </c>
      <c r="C208" s="4">
        <v>210</v>
      </c>
      <c r="D208" s="26"/>
      <c r="E208" s="3" t="s">
        <v>179</v>
      </c>
      <c r="F208" s="3" t="s">
        <v>173</v>
      </c>
      <c r="G208" s="3"/>
      <c r="H208" s="7"/>
      <c r="I208" s="18">
        <f t="shared" si="9"/>
        <v>175</v>
      </c>
      <c r="J208" s="18">
        <f t="shared" si="7"/>
        <v>1750</v>
      </c>
    </row>
    <row r="209" spans="1:10" x14ac:dyDescent="0.45">
      <c r="A209" s="3" t="s">
        <v>25</v>
      </c>
      <c r="B209" s="3" t="s">
        <v>41</v>
      </c>
      <c r="C209" s="4">
        <v>190</v>
      </c>
      <c r="D209" s="26"/>
      <c r="E209" s="3" t="s">
        <v>105</v>
      </c>
      <c r="F209" s="3" t="s">
        <v>174</v>
      </c>
      <c r="G209" s="3"/>
      <c r="H209" s="7"/>
      <c r="I209" s="18">
        <f t="shared" si="9"/>
        <v>158.33333333333334</v>
      </c>
      <c r="J209" s="18">
        <f t="shared" si="7"/>
        <v>1583.3333333333335</v>
      </c>
    </row>
    <row r="210" spans="1:10" x14ac:dyDescent="0.45">
      <c r="A210" s="3" t="s">
        <v>25</v>
      </c>
      <c r="B210" s="3" t="s">
        <v>180</v>
      </c>
      <c r="C210" s="4">
        <v>370</v>
      </c>
      <c r="D210" s="26"/>
      <c r="E210" s="3" t="s">
        <v>143</v>
      </c>
      <c r="F210" s="3" t="s">
        <v>144</v>
      </c>
      <c r="G210" s="3"/>
      <c r="H210" s="7"/>
      <c r="I210" s="18">
        <f t="shared" si="9"/>
        <v>308.33333333333337</v>
      </c>
      <c r="J210" s="18">
        <f t="shared" si="7"/>
        <v>3083.3333333333339</v>
      </c>
    </row>
    <row r="211" spans="1:10" x14ac:dyDescent="0.45">
      <c r="A211" s="3" t="s">
        <v>25</v>
      </c>
      <c r="B211" s="3" t="s">
        <v>180</v>
      </c>
      <c r="C211" s="4">
        <v>290</v>
      </c>
      <c r="D211" s="26"/>
      <c r="E211" s="3" t="s">
        <v>210</v>
      </c>
      <c r="F211" s="3" t="s">
        <v>181</v>
      </c>
      <c r="G211" s="3"/>
      <c r="H211" s="7"/>
      <c r="I211" s="18">
        <f t="shared" si="9"/>
        <v>241.66666666666669</v>
      </c>
      <c r="J211" s="18">
        <f t="shared" si="7"/>
        <v>2416.666666666667</v>
      </c>
    </row>
    <row r="212" spans="1:10" x14ac:dyDescent="0.45">
      <c r="A212" s="3" t="s">
        <v>25</v>
      </c>
      <c r="B212" s="3" t="s">
        <v>180</v>
      </c>
      <c r="C212" s="4">
        <v>785</v>
      </c>
      <c r="D212" s="26"/>
      <c r="E212" s="3" t="s">
        <v>187</v>
      </c>
      <c r="F212" s="3" t="s">
        <v>182</v>
      </c>
      <c r="G212" s="3"/>
      <c r="H212" s="7"/>
      <c r="I212" s="18">
        <f t="shared" si="9"/>
        <v>654.16666666666674</v>
      </c>
      <c r="J212" s="18">
        <f t="shared" si="7"/>
        <v>6541.6666666666679</v>
      </c>
    </row>
    <row r="213" spans="1:10" x14ac:dyDescent="0.45">
      <c r="A213" s="3" t="s">
        <v>25</v>
      </c>
      <c r="B213" s="3" t="s">
        <v>180</v>
      </c>
      <c r="C213" s="4">
        <v>370</v>
      </c>
      <c r="D213" s="26"/>
      <c r="E213" s="3" t="s">
        <v>179</v>
      </c>
      <c r="F213" s="3" t="s">
        <v>183</v>
      </c>
      <c r="G213" s="3"/>
      <c r="H213" s="7"/>
      <c r="I213" s="18">
        <f t="shared" ref="I213:I248" si="10">C213/(1+$K$6)</f>
        <v>308.33333333333337</v>
      </c>
      <c r="J213" s="18">
        <f t="shared" si="7"/>
        <v>3083.3333333333339</v>
      </c>
    </row>
    <row r="214" spans="1:10" x14ac:dyDescent="0.45">
      <c r="A214" s="3" t="s">
        <v>25</v>
      </c>
      <c r="B214" s="3" t="s">
        <v>180</v>
      </c>
      <c r="C214" s="4">
        <v>300</v>
      </c>
      <c r="D214" s="26"/>
      <c r="E214" s="3" t="s">
        <v>188</v>
      </c>
      <c r="F214" s="3" t="s">
        <v>184</v>
      </c>
      <c r="G214" s="3"/>
      <c r="H214" s="7"/>
      <c r="I214" s="18">
        <f t="shared" si="10"/>
        <v>250</v>
      </c>
      <c r="J214" s="18">
        <f t="shared" si="7"/>
        <v>2500</v>
      </c>
    </row>
    <row r="215" spans="1:10" x14ac:dyDescent="0.45">
      <c r="A215" s="3" t="s">
        <v>25</v>
      </c>
      <c r="B215" s="3" t="s">
        <v>180</v>
      </c>
      <c r="C215" s="4">
        <v>330</v>
      </c>
      <c r="D215" s="26"/>
      <c r="E215" s="3" t="s">
        <v>189</v>
      </c>
      <c r="F215" s="3" t="s">
        <v>185</v>
      </c>
      <c r="G215" s="3"/>
      <c r="H215" s="7"/>
      <c r="I215" s="18">
        <f t="shared" si="10"/>
        <v>275</v>
      </c>
      <c r="J215" s="18">
        <f t="shared" si="7"/>
        <v>2750</v>
      </c>
    </row>
    <row r="216" spans="1:10" x14ac:dyDescent="0.45">
      <c r="A216" s="3" t="s">
        <v>25</v>
      </c>
      <c r="B216" s="3" t="s">
        <v>82</v>
      </c>
      <c r="C216" s="4">
        <v>790</v>
      </c>
      <c r="D216" s="26"/>
      <c r="E216" s="3" t="s">
        <v>187</v>
      </c>
      <c r="F216" s="3" t="s">
        <v>186</v>
      </c>
      <c r="G216" s="3"/>
      <c r="H216" s="7"/>
      <c r="I216" s="18">
        <f t="shared" si="10"/>
        <v>658.33333333333337</v>
      </c>
      <c r="J216" s="18">
        <f t="shared" si="7"/>
        <v>6583.3333333333339</v>
      </c>
    </row>
    <row r="217" spans="1:10" x14ac:dyDescent="0.45">
      <c r="A217" s="3" t="s">
        <v>131</v>
      </c>
      <c r="B217" s="3" t="s">
        <v>50</v>
      </c>
      <c r="C217" s="4">
        <v>260</v>
      </c>
      <c r="D217" s="26"/>
      <c r="E217" s="3" t="s">
        <v>124</v>
      </c>
      <c r="F217" s="3" t="s">
        <v>133</v>
      </c>
      <c r="G217" s="3"/>
      <c r="H217" s="7"/>
      <c r="I217" s="18">
        <f t="shared" si="10"/>
        <v>216.66666666666669</v>
      </c>
      <c r="J217" s="18">
        <f t="shared" si="7"/>
        <v>2166.666666666667</v>
      </c>
    </row>
    <row r="218" spans="1:10" x14ac:dyDescent="0.45">
      <c r="A218" s="3" t="s">
        <v>131</v>
      </c>
      <c r="B218" s="3" t="s">
        <v>50</v>
      </c>
      <c r="C218" s="4">
        <v>270</v>
      </c>
      <c r="D218" s="26"/>
      <c r="E218" s="3" t="s">
        <v>211</v>
      </c>
      <c r="F218" s="3" t="s">
        <v>134</v>
      </c>
      <c r="G218" s="3"/>
      <c r="H218" s="7"/>
      <c r="I218" s="18">
        <f t="shared" si="10"/>
        <v>225</v>
      </c>
      <c r="J218" s="18">
        <f t="shared" si="7"/>
        <v>2250</v>
      </c>
    </row>
    <row r="219" spans="1:10" x14ac:dyDescent="0.45">
      <c r="A219" s="3" t="s">
        <v>131</v>
      </c>
      <c r="B219" s="3" t="s">
        <v>82</v>
      </c>
      <c r="C219" s="4">
        <v>170</v>
      </c>
      <c r="D219" s="26"/>
      <c r="E219" s="3" t="s">
        <v>136</v>
      </c>
      <c r="F219" s="3" t="s">
        <v>135</v>
      </c>
      <c r="G219" s="3"/>
      <c r="H219" s="7"/>
      <c r="I219" s="18">
        <f t="shared" si="10"/>
        <v>141.66666666666669</v>
      </c>
      <c r="J219" s="18">
        <f t="shared" si="7"/>
        <v>1416.666666666667</v>
      </c>
    </row>
    <row r="220" spans="1:10" x14ac:dyDescent="0.45">
      <c r="A220" s="3" t="s">
        <v>131</v>
      </c>
      <c r="B220" s="3" t="s">
        <v>82</v>
      </c>
      <c r="C220" s="4">
        <v>270</v>
      </c>
      <c r="D220" s="26"/>
      <c r="E220" s="3" t="s">
        <v>137</v>
      </c>
      <c r="F220" s="3" t="s">
        <v>138</v>
      </c>
      <c r="G220" s="3"/>
      <c r="H220" s="7"/>
      <c r="I220" s="18">
        <f t="shared" si="10"/>
        <v>225</v>
      </c>
      <c r="J220" s="18">
        <f t="shared" si="7"/>
        <v>2250</v>
      </c>
    </row>
    <row r="221" spans="1:10" x14ac:dyDescent="0.45">
      <c r="A221" s="3" t="s">
        <v>131</v>
      </c>
      <c r="B221" s="3" t="s">
        <v>41</v>
      </c>
      <c r="C221" s="4">
        <v>200</v>
      </c>
      <c r="D221" s="26"/>
      <c r="E221" s="3" t="s">
        <v>128</v>
      </c>
      <c r="F221" s="3" t="s">
        <v>127</v>
      </c>
      <c r="G221" s="3"/>
      <c r="H221" s="7"/>
      <c r="I221" s="18">
        <f t="shared" si="10"/>
        <v>166.66666666666669</v>
      </c>
      <c r="J221" s="18">
        <f t="shared" si="7"/>
        <v>1666.666666666667</v>
      </c>
    </row>
    <row r="222" spans="1:10" x14ac:dyDescent="0.45">
      <c r="A222" s="3" t="s">
        <v>24</v>
      </c>
      <c r="B222" s="3" t="s">
        <v>41</v>
      </c>
      <c r="C222" s="4">
        <v>200</v>
      </c>
      <c r="D222" s="26"/>
      <c r="E222" s="3" t="s">
        <v>129</v>
      </c>
      <c r="F222" s="3" t="s">
        <v>130</v>
      </c>
      <c r="G222" s="3"/>
      <c r="H222" s="7"/>
      <c r="I222" s="18">
        <f t="shared" si="10"/>
        <v>166.66666666666669</v>
      </c>
      <c r="J222" s="18">
        <f t="shared" si="7"/>
        <v>1666.666666666667</v>
      </c>
    </row>
    <row r="223" spans="1:10" x14ac:dyDescent="0.45">
      <c r="A223" s="3" t="s">
        <v>24</v>
      </c>
      <c r="B223" s="3" t="s">
        <v>41</v>
      </c>
      <c r="C223" s="4">
        <v>200</v>
      </c>
      <c r="D223" s="26"/>
      <c r="E223" s="3" t="s">
        <v>128</v>
      </c>
      <c r="F223" s="3" t="s">
        <v>127</v>
      </c>
      <c r="G223" s="3"/>
      <c r="H223" s="7"/>
      <c r="I223" s="18">
        <f t="shared" si="10"/>
        <v>166.66666666666669</v>
      </c>
      <c r="J223" s="18">
        <f t="shared" si="7"/>
        <v>1666.666666666667</v>
      </c>
    </row>
    <row r="224" spans="1:10" x14ac:dyDescent="0.45">
      <c r="A224" s="3" t="s">
        <v>24</v>
      </c>
      <c r="B224" s="3" t="s">
        <v>41</v>
      </c>
      <c r="C224" s="4">
        <v>210</v>
      </c>
      <c r="D224" s="26"/>
      <c r="E224" s="3" t="s">
        <v>126</v>
      </c>
      <c r="F224" s="3" t="s">
        <v>125</v>
      </c>
      <c r="G224" s="3"/>
      <c r="H224" s="7"/>
      <c r="I224" s="18">
        <f t="shared" si="10"/>
        <v>175</v>
      </c>
      <c r="J224" s="18">
        <f t="shared" ref="J224:J288" si="11">I224*$J$6</f>
        <v>1750</v>
      </c>
    </row>
    <row r="225" spans="1:10" x14ac:dyDescent="0.45">
      <c r="A225" s="3" t="s">
        <v>24</v>
      </c>
      <c r="B225" s="3" t="s">
        <v>41</v>
      </c>
      <c r="C225" s="4">
        <v>210</v>
      </c>
      <c r="D225" s="26"/>
      <c r="E225" s="3" t="s">
        <v>124</v>
      </c>
      <c r="F225" s="3" t="s">
        <v>123</v>
      </c>
      <c r="G225" s="3"/>
      <c r="H225" s="7"/>
      <c r="I225" s="18">
        <f t="shared" si="10"/>
        <v>175</v>
      </c>
      <c r="J225" s="18">
        <f t="shared" si="11"/>
        <v>1750</v>
      </c>
    </row>
    <row r="226" spans="1:10" x14ac:dyDescent="0.45">
      <c r="A226" s="3" t="s">
        <v>24</v>
      </c>
      <c r="B226" s="3" t="s">
        <v>41</v>
      </c>
      <c r="C226" s="4">
        <v>300</v>
      </c>
      <c r="D226" s="26"/>
      <c r="E226" s="3" t="s">
        <v>105</v>
      </c>
      <c r="F226" s="3" t="s">
        <v>122</v>
      </c>
      <c r="G226" s="3"/>
      <c r="H226" s="7"/>
      <c r="I226" s="18">
        <f t="shared" si="10"/>
        <v>250</v>
      </c>
      <c r="J226" s="18">
        <f t="shared" si="11"/>
        <v>2500</v>
      </c>
    </row>
    <row r="227" spans="1:10" x14ac:dyDescent="0.45">
      <c r="A227" s="3" t="s">
        <v>24</v>
      </c>
      <c r="B227" s="3" t="s">
        <v>41</v>
      </c>
      <c r="C227" s="4">
        <v>200</v>
      </c>
      <c r="D227" s="26"/>
      <c r="E227" s="3" t="s">
        <v>121</v>
      </c>
      <c r="F227" s="3" t="s">
        <v>120</v>
      </c>
      <c r="G227" s="3"/>
      <c r="H227" s="7"/>
      <c r="I227" s="18">
        <f t="shared" si="10"/>
        <v>166.66666666666669</v>
      </c>
      <c r="J227" s="18">
        <f t="shared" si="11"/>
        <v>1666.666666666667</v>
      </c>
    </row>
    <row r="228" spans="1:10" x14ac:dyDescent="0.45">
      <c r="A228" s="3" t="s">
        <v>24</v>
      </c>
      <c r="B228" s="3" t="s">
        <v>82</v>
      </c>
      <c r="C228" s="4">
        <v>300</v>
      </c>
      <c r="D228" s="26"/>
      <c r="E228" s="3" t="s">
        <v>119</v>
      </c>
      <c r="F228" s="3" t="s">
        <v>118</v>
      </c>
      <c r="G228" s="3"/>
      <c r="H228" s="7"/>
      <c r="I228" s="18">
        <f t="shared" si="10"/>
        <v>250</v>
      </c>
      <c r="J228" s="18">
        <f t="shared" si="11"/>
        <v>2500</v>
      </c>
    </row>
    <row r="229" spans="1:10" x14ac:dyDescent="0.45">
      <c r="A229" s="3" t="s">
        <v>24</v>
      </c>
      <c r="B229" s="3" t="s">
        <v>82</v>
      </c>
      <c r="C229" s="4">
        <v>350</v>
      </c>
      <c r="D229" s="26"/>
      <c r="E229" s="3" t="s">
        <v>116</v>
      </c>
      <c r="F229" s="3" t="s">
        <v>117</v>
      </c>
      <c r="G229" s="3"/>
      <c r="H229" s="7"/>
      <c r="I229" s="18">
        <f t="shared" si="10"/>
        <v>291.66666666666669</v>
      </c>
      <c r="J229" s="18">
        <f t="shared" si="11"/>
        <v>2916.666666666667</v>
      </c>
    </row>
    <row r="230" spans="1:10" x14ac:dyDescent="0.45">
      <c r="A230" s="3" t="s">
        <v>24</v>
      </c>
      <c r="B230" s="3" t="s">
        <v>82</v>
      </c>
      <c r="C230" s="4">
        <v>300</v>
      </c>
      <c r="D230" s="26"/>
      <c r="E230" s="3" t="s">
        <v>115</v>
      </c>
      <c r="F230" s="3" t="s">
        <v>114</v>
      </c>
      <c r="G230" s="3"/>
      <c r="H230" s="7"/>
      <c r="I230" s="18">
        <f t="shared" si="10"/>
        <v>250</v>
      </c>
      <c r="J230" s="18">
        <f t="shared" si="11"/>
        <v>2500</v>
      </c>
    </row>
    <row r="231" spans="1:10" x14ac:dyDescent="0.45">
      <c r="A231" s="3" t="s">
        <v>24</v>
      </c>
      <c r="B231" s="3" t="s">
        <v>82</v>
      </c>
      <c r="C231" s="4">
        <v>300</v>
      </c>
      <c r="D231" s="26"/>
      <c r="E231" s="3" t="s">
        <v>85</v>
      </c>
      <c r="F231" s="3" t="s">
        <v>112</v>
      </c>
      <c r="G231" s="3"/>
      <c r="H231" s="7"/>
      <c r="I231" s="18">
        <f t="shared" si="10"/>
        <v>250</v>
      </c>
      <c r="J231" s="18">
        <f t="shared" si="11"/>
        <v>2500</v>
      </c>
    </row>
    <row r="232" spans="1:10" x14ac:dyDescent="0.45">
      <c r="A232" s="3" t="s">
        <v>24</v>
      </c>
      <c r="B232" s="3" t="s">
        <v>49</v>
      </c>
      <c r="C232" s="4">
        <v>200</v>
      </c>
      <c r="D232" s="26"/>
      <c r="E232" s="3" t="s">
        <v>110</v>
      </c>
      <c r="F232" s="3" t="s">
        <v>111</v>
      </c>
      <c r="G232" s="3"/>
      <c r="H232" s="7"/>
      <c r="I232" s="18">
        <f t="shared" si="10"/>
        <v>166.66666666666669</v>
      </c>
      <c r="J232" s="18">
        <f t="shared" si="11"/>
        <v>1666.666666666667</v>
      </c>
    </row>
    <row r="233" spans="1:10" x14ac:dyDescent="0.45">
      <c r="A233" s="3" t="s">
        <v>24</v>
      </c>
      <c r="B233" s="3" t="s">
        <v>50</v>
      </c>
      <c r="C233" s="4">
        <v>230</v>
      </c>
      <c r="D233" s="26"/>
      <c r="E233" s="3" t="s">
        <v>109</v>
      </c>
      <c r="F233" s="3" t="s">
        <v>108</v>
      </c>
      <c r="G233" s="3"/>
      <c r="H233" s="7"/>
      <c r="I233" s="18">
        <f t="shared" si="10"/>
        <v>191.66666666666669</v>
      </c>
      <c r="J233" s="18">
        <f t="shared" si="11"/>
        <v>1916.666666666667</v>
      </c>
    </row>
    <row r="234" spans="1:10" x14ac:dyDescent="0.45">
      <c r="A234" s="3" t="s">
        <v>24</v>
      </c>
      <c r="B234" s="3" t="s">
        <v>83</v>
      </c>
      <c r="C234" s="4">
        <v>280</v>
      </c>
      <c r="D234" s="26"/>
      <c r="E234" s="3" t="s">
        <v>107</v>
      </c>
      <c r="F234" s="3" t="s">
        <v>106</v>
      </c>
      <c r="G234" s="3"/>
      <c r="H234" s="7"/>
      <c r="I234" s="18">
        <f t="shared" si="10"/>
        <v>233.33333333333334</v>
      </c>
      <c r="J234" s="18">
        <f t="shared" si="11"/>
        <v>2333.3333333333335</v>
      </c>
    </row>
    <row r="235" spans="1:10" x14ac:dyDescent="0.45">
      <c r="A235" s="3" t="s">
        <v>24</v>
      </c>
      <c r="B235" s="3" t="s">
        <v>83</v>
      </c>
      <c r="C235" s="4">
        <v>430</v>
      </c>
      <c r="D235" s="26"/>
      <c r="E235" s="3" t="s">
        <v>105</v>
      </c>
      <c r="F235" s="3" t="s">
        <v>104</v>
      </c>
      <c r="G235" s="3"/>
      <c r="H235" s="7"/>
      <c r="I235" s="18">
        <f t="shared" si="10"/>
        <v>358.33333333333337</v>
      </c>
      <c r="J235" s="18">
        <f t="shared" si="11"/>
        <v>3583.3333333333339</v>
      </c>
    </row>
    <row r="236" spans="1:10" x14ac:dyDescent="0.45">
      <c r="A236" s="3" t="s">
        <v>24</v>
      </c>
      <c r="B236" s="3" t="s">
        <v>83</v>
      </c>
      <c r="C236" s="4">
        <v>370</v>
      </c>
      <c r="D236" s="26"/>
      <c r="E236" s="3" t="s">
        <v>113</v>
      </c>
      <c r="F236" s="3" t="s">
        <v>103</v>
      </c>
      <c r="G236" s="3"/>
      <c r="H236" s="7"/>
      <c r="I236" s="18">
        <f t="shared" si="10"/>
        <v>308.33333333333337</v>
      </c>
      <c r="J236" s="18">
        <f t="shared" si="11"/>
        <v>3083.3333333333339</v>
      </c>
    </row>
    <row r="237" spans="1:10" x14ac:dyDescent="0.45">
      <c r="A237" s="3" t="s">
        <v>23</v>
      </c>
      <c r="B237" s="3" t="s">
        <v>79</v>
      </c>
      <c r="C237" s="4"/>
      <c r="D237" s="26"/>
      <c r="E237" s="3"/>
      <c r="F237" s="3"/>
      <c r="G237" s="3"/>
      <c r="H237" s="7"/>
      <c r="I237" s="18">
        <f t="shared" si="10"/>
        <v>0</v>
      </c>
      <c r="J237" s="18">
        <f t="shared" si="11"/>
        <v>0</v>
      </c>
    </row>
    <row r="238" spans="1:10" x14ac:dyDescent="0.45">
      <c r="A238" s="3" t="s">
        <v>23</v>
      </c>
      <c r="B238" s="3" t="s">
        <v>80</v>
      </c>
      <c r="C238" s="4"/>
      <c r="D238" s="26"/>
      <c r="E238" s="3"/>
      <c r="F238" s="3"/>
      <c r="G238" s="3"/>
      <c r="H238" s="7"/>
      <c r="I238" s="18">
        <f t="shared" si="10"/>
        <v>0</v>
      </c>
      <c r="J238" s="18">
        <f t="shared" si="11"/>
        <v>0</v>
      </c>
    </row>
    <row r="239" spans="1:10" x14ac:dyDescent="0.45">
      <c r="A239" s="3" t="s">
        <v>192</v>
      </c>
      <c r="B239" s="3" t="s">
        <v>82</v>
      </c>
      <c r="C239" s="4">
        <v>350</v>
      </c>
      <c r="D239" s="26"/>
      <c r="E239" s="3" t="s">
        <v>89</v>
      </c>
      <c r="F239" s="3" t="s">
        <v>102</v>
      </c>
      <c r="G239" s="3"/>
      <c r="H239" s="7"/>
      <c r="I239" s="18">
        <f t="shared" si="10"/>
        <v>291.66666666666669</v>
      </c>
      <c r="J239" s="18">
        <f t="shared" si="11"/>
        <v>2916.666666666667</v>
      </c>
    </row>
    <row r="240" spans="1:10" x14ac:dyDescent="0.45">
      <c r="A240" s="3" t="s">
        <v>192</v>
      </c>
      <c r="B240" s="3" t="s">
        <v>82</v>
      </c>
      <c r="C240" s="4">
        <v>260</v>
      </c>
      <c r="D240" s="26"/>
      <c r="E240" s="3" t="s">
        <v>88</v>
      </c>
      <c r="F240" s="3" t="s">
        <v>101</v>
      </c>
      <c r="G240" s="3"/>
      <c r="H240" s="7"/>
      <c r="I240" s="18">
        <f t="shared" si="10"/>
        <v>216.66666666666669</v>
      </c>
      <c r="J240" s="18">
        <f t="shared" si="11"/>
        <v>2166.666666666667</v>
      </c>
    </row>
    <row r="241" spans="1:10" x14ac:dyDescent="0.45">
      <c r="A241" s="3" t="s">
        <v>192</v>
      </c>
      <c r="B241" s="3" t="s">
        <v>82</v>
      </c>
      <c r="C241" s="4">
        <v>370</v>
      </c>
      <c r="D241" s="26"/>
      <c r="E241" s="3" t="s">
        <v>87</v>
      </c>
      <c r="F241" s="3" t="s">
        <v>100</v>
      </c>
      <c r="G241" s="3"/>
      <c r="H241" s="7"/>
      <c r="I241" s="18">
        <f t="shared" si="10"/>
        <v>308.33333333333337</v>
      </c>
      <c r="J241" s="18">
        <f t="shared" si="11"/>
        <v>3083.3333333333339</v>
      </c>
    </row>
    <row r="242" spans="1:10" x14ac:dyDescent="0.45">
      <c r="A242" s="3" t="s">
        <v>192</v>
      </c>
      <c r="B242" s="3" t="s">
        <v>81</v>
      </c>
      <c r="C242" s="4"/>
      <c r="D242" s="26"/>
      <c r="E242" s="3" t="s">
        <v>86</v>
      </c>
      <c r="F242" s="3"/>
      <c r="G242" s="3"/>
      <c r="H242" s="7"/>
      <c r="I242" s="18">
        <f t="shared" si="10"/>
        <v>0</v>
      </c>
      <c r="J242" s="18">
        <f t="shared" si="11"/>
        <v>0</v>
      </c>
    </row>
    <row r="243" spans="1:10" x14ac:dyDescent="0.45">
      <c r="A243" s="3" t="s">
        <v>192</v>
      </c>
      <c r="B243" s="3" t="s">
        <v>83</v>
      </c>
      <c r="C243" s="4">
        <v>320</v>
      </c>
      <c r="D243" s="26"/>
      <c r="E243" s="3" t="s">
        <v>85</v>
      </c>
      <c r="F243" s="3" t="s">
        <v>99</v>
      </c>
      <c r="G243" s="3"/>
      <c r="H243" s="7"/>
      <c r="I243" s="18">
        <f t="shared" si="10"/>
        <v>266.66666666666669</v>
      </c>
      <c r="J243" s="18">
        <f t="shared" si="11"/>
        <v>2666.666666666667</v>
      </c>
    </row>
    <row r="244" spans="1:10" x14ac:dyDescent="0.45">
      <c r="A244" s="3" t="s">
        <v>192</v>
      </c>
      <c r="B244" s="3" t="s">
        <v>82</v>
      </c>
      <c r="C244" s="4">
        <v>440</v>
      </c>
      <c r="D244" s="26"/>
      <c r="E244" s="3" t="s">
        <v>107</v>
      </c>
      <c r="F244" s="3" t="s">
        <v>98</v>
      </c>
      <c r="G244" s="3"/>
      <c r="H244" s="7"/>
      <c r="I244" s="18">
        <f t="shared" si="10"/>
        <v>366.66666666666669</v>
      </c>
      <c r="J244" s="18">
        <f t="shared" si="11"/>
        <v>3666.666666666667</v>
      </c>
    </row>
    <row r="245" spans="1:10" x14ac:dyDescent="0.45">
      <c r="A245" s="3" t="s">
        <v>192</v>
      </c>
      <c r="B245" s="3"/>
      <c r="C245" s="4">
        <v>170</v>
      </c>
      <c r="D245" s="26"/>
      <c r="E245" s="3" t="s">
        <v>90</v>
      </c>
      <c r="F245" s="3" t="s">
        <v>97</v>
      </c>
      <c r="G245" s="3"/>
      <c r="H245" s="7"/>
      <c r="I245" s="18">
        <f t="shared" si="10"/>
        <v>141.66666666666669</v>
      </c>
      <c r="J245" s="18">
        <f t="shared" si="11"/>
        <v>1416.666666666667</v>
      </c>
    </row>
    <row r="246" spans="1:10" x14ac:dyDescent="0.45">
      <c r="A246" s="3" t="s">
        <v>192</v>
      </c>
      <c r="B246" s="3" t="s">
        <v>50</v>
      </c>
      <c r="C246" s="4">
        <v>170</v>
      </c>
      <c r="D246" s="26"/>
      <c r="E246" s="3" t="s">
        <v>91</v>
      </c>
      <c r="F246" s="3" t="s">
        <v>96</v>
      </c>
      <c r="G246" s="3"/>
      <c r="H246" s="7"/>
      <c r="I246" s="18">
        <f t="shared" si="10"/>
        <v>141.66666666666669</v>
      </c>
      <c r="J246" s="18">
        <f t="shared" si="11"/>
        <v>1416.666666666667</v>
      </c>
    </row>
    <row r="247" spans="1:10" x14ac:dyDescent="0.45">
      <c r="A247" s="3" t="s">
        <v>192</v>
      </c>
      <c r="B247" s="3" t="s">
        <v>84</v>
      </c>
      <c r="C247" s="4">
        <v>410</v>
      </c>
      <c r="D247" s="26"/>
      <c r="E247" s="3" t="s">
        <v>92</v>
      </c>
      <c r="F247" s="3" t="s">
        <v>95</v>
      </c>
      <c r="G247" s="3"/>
      <c r="H247" s="7"/>
      <c r="I247" s="18">
        <f t="shared" si="10"/>
        <v>341.66666666666669</v>
      </c>
      <c r="J247" s="18">
        <f t="shared" si="11"/>
        <v>3416.666666666667</v>
      </c>
    </row>
    <row r="248" spans="1:10" x14ac:dyDescent="0.45">
      <c r="A248" s="3" t="s">
        <v>192</v>
      </c>
      <c r="B248" s="3" t="s">
        <v>83</v>
      </c>
      <c r="C248" s="4">
        <v>180</v>
      </c>
      <c r="D248" s="26"/>
      <c r="E248" s="3" t="s">
        <v>93</v>
      </c>
      <c r="F248" s="3" t="s">
        <v>94</v>
      </c>
      <c r="G248" s="3"/>
      <c r="H248" s="7"/>
      <c r="I248" s="18">
        <f t="shared" si="10"/>
        <v>150</v>
      </c>
      <c r="J248" s="18">
        <f t="shared" si="11"/>
        <v>1500</v>
      </c>
    </row>
    <row r="249" spans="1:10" x14ac:dyDescent="0.45">
      <c r="A249" s="34" t="s">
        <v>297</v>
      </c>
      <c r="B249" s="34"/>
      <c r="C249" s="34"/>
      <c r="D249" s="34"/>
      <c r="E249" s="34"/>
      <c r="F249" s="34"/>
      <c r="G249" s="34"/>
      <c r="H249" s="34"/>
      <c r="I249" s="18"/>
      <c r="J249" s="18"/>
    </row>
    <row r="250" spans="1:10" x14ac:dyDescent="0.45">
      <c r="A250" s="10" t="s">
        <v>0</v>
      </c>
      <c r="B250" s="10" t="s">
        <v>1</v>
      </c>
      <c r="C250" s="11" t="s">
        <v>2</v>
      </c>
      <c r="D250" s="25"/>
      <c r="E250" s="10" t="s">
        <v>26</v>
      </c>
      <c r="F250" s="10" t="s">
        <v>190</v>
      </c>
      <c r="G250" s="10" t="s">
        <v>269</v>
      </c>
      <c r="H250" s="14" t="s">
        <v>273</v>
      </c>
      <c r="I250" s="18" t="s">
        <v>2</v>
      </c>
      <c r="J250" s="18"/>
    </row>
    <row r="251" spans="1:10" x14ac:dyDescent="0.45">
      <c r="A251" s="15" t="s">
        <v>298</v>
      </c>
      <c r="B251" s="15" t="s">
        <v>299</v>
      </c>
      <c r="C251" s="19">
        <v>532</v>
      </c>
      <c r="D251" s="28"/>
      <c r="E251" s="15"/>
      <c r="F251" s="3"/>
      <c r="G251" s="3"/>
      <c r="H251" s="7"/>
      <c r="I251" s="18">
        <f t="shared" ref="I251:I256" si="12">C251/(1+$K$6)</f>
        <v>443.33333333333337</v>
      </c>
      <c r="J251" s="18">
        <f t="shared" si="11"/>
        <v>4433.3333333333339</v>
      </c>
    </row>
    <row r="252" spans="1:10" ht="39.5" customHeight="1" x14ac:dyDescent="0.45">
      <c r="A252" s="20" t="s">
        <v>308</v>
      </c>
      <c r="B252" s="15"/>
      <c r="C252" s="19">
        <v>2000</v>
      </c>
      <c r="D252" s="28">
        <v>44247</v>
      </c>
      <c r="E252" s="15"/>
      <c r="F252" s="3"/>
      <c r="G252" s="3"/>
      <c r="H252" s="7"/>
      <c r="I252" s="18">
        <f t="shared" si="12"/>
        <v>1666.6666666666667</v>
      </c>
      <c r="J252" s="18">
        <f t="shared" si="11"/>
        <v>16666.666666666668</v>
      </c>
    </row>
    <row r="253" spans="1:10" ht="39.5" customHeight="1" x14ac:dyDescent="0.45">
      <c r="A253" s="20" t="s">
        <v>338</v>
      </c>
      <c r="B253" s="15"/>
      <c r="C253" s="19">
        <v>1720</v>
      </c>
      <c r="D253" s="28">
        <v>44247</v>
      </c>
      <c r="E253" s="15"/>
      <c r="F253" s="3"/>
      <c r="G253" s="3"/>
      <c r="H253" s="7"/>
      <c r="I253" s="18">
        <f t="shared" si="12"/>
        <v>1433.3333333333335</v>
      </c>
      <c r="J253" s="18">
        <f t="shared" si="11"/>
        <v>14333.333333333336</v>
      </c>
    </row>
    <row r="254" spans="1:10" ht="39.5" customHeight="1" x14ac:dyDescent="0.45">
      <c r="A254" s="20" t="s">
        <v>309</v>
      </c>
      <c r="B254" s="15"/>
      <c r="C254" s="19">
        <v>2600</v>
      </c>
      <c r="D254" s="28">
        <v>44247</v>
      </c>
      <c r="E254" s="15"/>
      <c r="F254" s="3"/>
      <c r="G254" s="3"/>
      <c r="H254" s="7"/>
      <c r="I254" s="18">
        <f t="shared" si="12"/>
        <v>2166.666666666667</v>
      </c>
      <c r="J254" s="18">
        <f t="shared" si="11"/>
        <v>21666.666666666672</v>
      </c>
    </row>
    <row r="255" spans="1:10" x14ac:dyDescent="0.45">
      <c r="A255" s="15" t="s">
        <v>312</v>
      </c>
      <c r="B255" s="15" t="s">
        <v>311</v>
      </c>
      <c r="C255" s="19">
        <v>150</v>
      </c>
      <c r="D255" s="28">
        <v>44247</v>
      </c>
      <c r="E255" s="15"/>
      <c r="F255" s="3"/>
      <c r="G255" s="3"/>
      <c r="H255" s="7"/>
      <c r="I255" s="18">
        <f t="shared" si="12"/>
        <v>125</v>
      </c>
      <c r="J255" s="18">
        <f t="shared" si="11"/>
        <v>1250</v>
      </c>
    </row>
    <row r="256" spans="1:10" x14ac:dyDescent="0.45">
      <c r="A256" s="15" t="s">
        <v>313</v>
      </c>
      <c r="B256" s="15" t="s">
        <v>311</v>
      </c>
      <c r="C256" s="19">
        <v>775</v>
      </c>
      <c r="D256" s="28"/>
      <c r="E256" s="15"/>
      <c r="F256" s="3"/>
      <c r="G256" s="3"/>
      <c r="H256" s="7"/>
      <c r="I256" s="18">
        <f t="shared" si="12"/>
        <v>645.83333333333337</v>
      </c>
      <c r="J256" s="18">
        <f t="shared" si="11"/>
        <v>6458.3333333333339</v>
      </c>
    </row>
    <row r="257" spans="1:10" x14ac:dyDescent="0.45">
      <c r="A257" s="32" t="s">
        <v>314</v>
      </c>
      <c r="B257" s="33"/>
      <c r="C257" s="19"/>
      <c r="D257" s="28"/>
      <c r="E257" s="15"/>
      <c r="F257" s="3"/>
      <c r="G257" s="3"/>
      <c r="H257" s="7"/>
      <c r="I257" s="18"/>
      <c r="J257" s="18"/>
    </row>
    <row r="258" spans="1:10" x14ac:dyDescent="0.45">
      <c r="A258" s="15" t="s">
        <v>315</v>
      </c>
      <c r="B258" s="15" t="s">
        <v>311</v>
      </c>
      <c r="C258" s="19">
        <v>260</v>
      </c>
      <c r="D258" s="28">
        <v>44266</v>
      </c>
      <c r="E258" s="15"/>
      <c r="F258" s="3"/>
      <c r="G258" s="3"/>
      <c r="H258" s="7"/>
      <c r="I258" s="18">
        <f t="shared" ref="I258:I289" si="13">C258/(1+$K$6)</f>
        <v>216.66666666666669</v>
      </c>
      <c r="J258" s="18">
        <f t="shared" si="11"/>
        <v>2166.666666666667</v>
      </c>
    </row>
    <row r="259" spans="1:10" x14ac:dyDescent="0.45">
      <c r="A259" s="15" t="s">
        <v>316</v>
      </c>
      <c r="B259" s="15" t="s">
        <v>311</v>
      </c>
      <c r="C259" s="19">
        <v>640</v>
      </c>
      <c r="D259" s="28">
        <v>44266</v>
      </c>
      <c r="E259" s="15"/>
      <c r="F259" s="3"/>
      <c r="G259" s="3"/>
      <c r="H259" s="7"/>
      <c r="I259" s="18">
        <f t="shared" si="13"/>
        <v>533.33333333333337</v>
      </c>
      <c r="J259" s="18">
        <f t="shared" si="11"/>
        <v>5333.3333333333339</v>
      </c>
    </row>
    <row r="260" spans="1:10" x14ac:dyDescent="0.45">
      <c r="A260" s="15" t="s">
        <v>317</v>
      </c>
      <c r="B260" s="15" t="s">
        <v>311</v>
      </c>
      <c r="C260" s="19">
        <v>990</v>
      </c>
      <c r="D260" s="28">
        <v>44266</v>
      </c>
      <c r="E260" s="15"/>
      <c r="F260" s="3"/>
      <c r="G260" s="3"/>
      <c r="H260" s="7"/>
      <c r="I260" s="18">
        <f t="shared" si="13"/>
        <v>825</v>
      </c>
      <c r="J260" s="18">
        <f t="shared" si="11"/>
        <v>8250</v>
      </c>
    </row>
    <row r="261" spans="1:10" x14ac:dyDescent="0.45">
      <c r="A261" s="15" t="s">
        <v>318</v>
      </c>
      <c r="B261" s="15" t="s">
        <v>311</v>
      </c>
      <c r="C261" s="19">
        <v>2700</v>
      </c>
      <c r="D261" s="28">
        <v>44266</v>
      </c>
      <c r="E261" s="15"/>
      <c r="F261" s="3"/>
      <c r="G261" s="3"/>
      <c r="H261" s="7"/>
      <c r="I261" s="18">
        <f t="shared" si="13"/>
        <v>2250</v>
      </c>
      <c r="J261" s="18">
        <f t="shared" si="11"/>
        <v>22500</v>
      </c>
    </row>
    <row r="262" spans="1:10" x14ac:dyDescent="0.45">
      <c r="A262" s="15" t="s">
        <v>319</v>
      </c>
      <c r="B262" s="15" t="s">
        <v>311</v>
      </c>
      <c r="C262" s="19">
        <v>260</v>
      </c>
      <c r="D262" s="28">
        <v>44266</v>
      </c>
      <c r="E262" s="15"/>
      <c r="F262" s="3"/>
      <c r="G262" s="3"/>
      <c r="H262" s="7"/>
      <c r="I262" s="18">
        <f t="shared" si="13"/>
        <v>216.66666666666669</v>
      </c>
      <c r="J262" s="18">
        <f t="shared" si="11"/>
        <v>2166.666666666667</v>
      </c>
    </row>
    <row r="263" spans="1:10" x14ac:dyDescent="0.45">
      <c r="A263" s="15" t="s">
        <v>320</v>
      </c>
      <c r="B263" s="15" t="s">
        <v>311</v>
      </c>
      <c r="C263" s="19">
        <v>640</v>
      </c>
      <c r="D263" s="28">
        <v>44266</v>
      </c>
      <c r="E263" s="15"/>
      <c r="F263" s="3"/>
      <c r="G263" s="3"/>
      <c r="H263" s="7"/>
      <c r="I263" s="18">
        <f t="shared" si="13"/>
        <v>533.33333333333337</v>
      </c>
      <c r="J263" s="18">
        <f t="shared" si="11"/>
        <v>5333.3333333333339</v>
      </c>
    </row>
    <row r="264" spans="1:10" x14ac:dyDescent="0.45">
      <c r="A264" s="15" t="s">
        <v>321</v>
      </c>
      <c r="B264" s="15" t="s">
        <v>311</v>
      </c>
      <c r="C264" s="19">
        <v>990</v>
      </c>
      <c r="D264" s="28">
        <v>44266</v>
      </c>
      <c r="E264" s="15"/>
      <c r="F264" s="3"/>
      <c r="G264" s="3"/>
      <c r="H264" s="7"/>
      <c r="I264" s="18">
        <f t="shared" si="13"/>
        <v>825</v>
      </c>
      <c r="J264" s="18">
        <f t="shared" si="11"/>
        <v>8250</v>
      </c>
    </row>
    <row r="265" spans="1:10" x14ac:dyDescent="0.45">
      <c r="A265" s="15" t="s">
        <v>322</v>
      </c>
      <c r="B265" s="15" t="s">
        <v>311</v>
      </c>
      <c r="C265" s="19">
        <v>2700</v>
      </c>
      <c r="D265" s="28">
        <v>44266</v>
      </c>
      <c r="E265" s="15"/>
      <c r="F265" s="3"/>
      <c r="G265" s="3"/>
      <c r="H265" s="7"/>
      <c r="I265" s="18">
        <f t="shared" si="13"/>
        <v>2250</v>
      </c>
      <c r="J265" s="18">
        <f t="shared" si="11"/>
        <v>22500</v>
      </c>
    </row>
    <row r="266" spans="1:10" x14ac:dyDescent="0.45">
      <c r="A266" s="15" t="s">
        <v>323</v>
      </c>
      <c r="B266" s="15" t="s">
        <v>311</v>
      </c>
      <c r="C266" s="19">
        <v>290</v>
      </c>
      <c r="D266" s="28">
        <v>44266</v>
      </c>
      <c r="E266" s="15"/>
      <c r="F266" s="3"/>
      <c r="G266" s="3"/>
      <c r="H266" s="7"/>
      <c r="I266" s="18">
        <f t="shared" si="13"/>
        <v>241.66666666666669</v>
      </c>
      <c r="J266" s="18">
        <f t="shared" si="11"/>
        <v>2416.666666666667</v>
      </c>
    </row>
    <row r="267" spans="1:10" x14ac:dyDescent="0.45">
      <c r="A267" s="15" t="s">
        <v>324</v>
      </c>
      <c r="B267" s="15" t="s">
        <v>311</v>
      </c>
      <c r="C267" s="19">
        <v>840</v>
      </c>
      <c r="D267" s="28">
        <v>44266</v>
      </c>
      <c r="E267" s="15"/>
      <c r="F267" s="3"/>
      <c r="G267" s="3"/>
      <c r="H267" s="7"/>
      <c r="I267" s="18">
        <f t="shared" si="13"/>
        <v>700</v>
      </c>
      <c r="J267" s="18">
        <f t="shared" si="11"/>
        <v>7000</v>
      </c>
    </row>
    <row r="268" spans="1:10" x14ac:dyDescent="0.45">
      <c r="A268" s="15" t="s">
        <v>325</v>
      </c>
      <c r="B268" s="15" t="s">
        <v>311</v>
      </c>
      <c r="C268" s="19">
        <v>1530</v>
      </c>
      <c r="D268" s="28">
        <v>44266</v>
      </c>
      <c r="E268" s="15"/>
      <c r="F268" s="3"/>
      <c r="G268" s="3"/>
      <c r="H268" s="7"/>
      <c r="I268" s="18">
        <f t="shared" si="13"/>
        <v>1275</v>
      </c>
      <c r="J268" s="18">
        <f t="shared" si="11"/>
        <v>12750</v>
      </c>
    </row>
    <row r="269" spans="1:10" x14ac:dyDescent="0.45">
      <c r="A269" s="15" t="s">
        <v>326</v>
      </c>
      <c r="B269" s="15" t="s">
        <v>311</v>
      </c>
      <c r="C269" s="19">
        <v>4390</v>
      </c>
      <c r="D269" s="28">
        <v>44266</v>
      </c>
      <c r="E269" s="15"/>
      <c r="F269" s="3"/>
      <c r="G269" s="3"/>
      <c r="H269" s="7"/>
      <c r="I269" s="18">
        <f t="shared" si="13"/>
        <v>3658.3333333333335</v>
      </c>
      <c r="J269" s="18">
        <f t="shared" si="11"/>
        <v>36583.333333333336</v>
      </c>
    </row>
    <row r="270" spans="1:10" x14ac:dyDescent="0.45">
      <c r="A270" s="15" t="s">
        <v>327</v>
      </c>
      <c r="B270" s="15" t="s">
        <v>311</v>
      </c>
      <c r="C270" s="19">
        <v>350</v>
      </c>
      <c r="D270" s="28">
        <v>44266</v>
      </c>
      <c r="E270" s="15"/>
      <c r="F270" s="3"/>
      <c r="G270" s="3"/>
      <c r="H270" s="7"/>
      <c r="I270" s="18">
        <f t="shared" si="13"/>
        <v>291.66666666666669</v>
      </c>
      <c r="J270" s="18">
        <f t="shared" si="11"/>
        <v>2916.666666666667</v>
      </c>
    </row>
    <row r="271" spans="1:10" x14ac:dyDescent="0.45">
      <c r="A271" s="15" t="s">
        <v>328</v>
      </c>
      <c r="B271" s="15" t="s">
        <v>311</v>
      </c>
      <c r="C271" s="19">
        <v>1000</v>
      </c>
      <c r="D271" s="28">
        <v>44266</v>
      </c>
      <c r="E271" s="15"/>
      <c r="F271" s="3"/>
      <c r="G271" s="3"/>
      <c r="H271" s="7"/>
      <c r="I271" s="18">
        <f t="shared" si="13"/>
        <v>833.33333333333337</v>
      </c>
      <c r="J271" s="18">
        <f t="shared" si="11"/>
        <v>8333.3333333333339</v>
      </c>
    </row>
    <row r="272" spans="1:10" x14ac:dyDescent="0.45">
      <c r="A272" s="15" t="s">
        <v>329</v>
      </c>
      <c r="B272" s="15" t="s">
        <v>311</v>
      </c>
      <c r="C272" s="19">
        <v>300</v>
      </c>
      <c r="D272" s="28">
        <v>44266</v>
      </c>
      <c r="E272" s="15"/>
      <c r="F272" s="3"/>
      <c r="G272" s="3"/>
      <c r="H272" s="7"/>
      <c r="I272" s="18">
        <f t="shared" si="13"/>
        <v>250</v>
      </c>
      <c r="J272" s="18">
        <f t="shared" si="11"/>
        <v>2500</v>
      </c>
    </row>
    <row r="273" spans="1:10" x14ac:dyDescent="0.45">
      <c r="A273" s="15" t="s">
        <v>330</v>
      </c>
      <c r="B273" s="15" t="s">
        <v>311</v>
      </c>
      <c r="C273" s="19">
        <v>780</v>
      </c>
      <c r="D273" s="28">
        <v>44266</v>
      </c>
      <c r="E273" s="15"/>
      <c r="F273" s="3"/>
      <c r="G273" s="3"/>
      <c r="H273" s="7"/>
      <c r="I273" s="18">
        <f t="shared" si="13"/>
        <v>650</v>
      </c>
      <c r="J273" s="18">
        <f t="shared" si="11"/>
        <v>6500</v>
      </c>
    </row>
    <row r="274" spans="1:10" x14ac:dyDescent="0.45">
      <c r="A274" s="15" t="s">
        <v>331</v>
      </c>
      <c r="B274" s="15" t="s">
        <v>311</v>
      </c>
      <c r="C274" s="19">
        <v>460</v>
      </c>
      <c r="D274" s="28">
        <v>44266</v>
      </c>
      <c r="E274" s="15"/>
      <c r="F274" s="3"/>
      <c r="G274" s="3"/>
      <c r="H274" s="7"/>
      <c r="I274" s="18">
        <f t="shared" si="13"/>
        <v>383.33333333333337</v>
      </c>
      <c r="J274" s="18">
        <f t="shared" si="11"/>
        <v>3833.3333333333339</v>
      </c>
    </row>
    <row r="275" spans="1:10" x14ac:dyDescent="0.45">
      <c r="A275" s="15" t="s">
        <v>332</v>
      </c>
      <c r="B275" s="15" t="s">
        <v>311</v>
      </c>
      <c r="C275" s="19">
        <v>1320</v>
      </c>
      <c r="D275" s="28">
        <v>44266</v>
      </c>
      <c r="E275" s="15"/>
      <c r="F275" s="3"/>
      <c r="G275" s="3"/>
      <c r="H275" s="7"/>
      <c r="I275" s="18">
        <f t="shared" si="13"/>
        <v>1100</v>
      </c>
      <c r="J275" s="18">
        <f t="shared" si="11"/>
        <v>11000</v>
      </c>
    </row>
    <row r="276" spans="1:10" x14ac:dyDescent="0.45">
      <c r="A276" s="15" t="s">
        <v>333</v>
      </c>
      <c r="B276" s="15" t="s">
        <v>311</v>
      </c>
      <c r="C276" s="19">
        <v>2390</v>
      </c>
      <c r="D276" s="28">
        <v>44266</v>
      </c>
      <c r="E276" s="15"/>
      <c r="F276" s="3"/>
      <c r="G276" s="3"/>
      <c r="H276" s="7"/>
      <c r="I276" s="18">
        <f t="shared" si="13"/>
        <v>1991.6666666666667</v>
      </c>
      <c r="J276" s="18">
        <f t="shared" si="11"/>
        <v>19916.666666666668</v>
      </c>
    </row>
    <row r="277" spans="1:10" x14ac:dyDescent="0.45">
      <c r="A277" s="15" t="s">
        <v>334</v>
      </c>
      <c r="B277" s="15" t="s">
        <v>311</v>
      </c>
      <c r="C277" s="19">
        <v>690</v>
      </c>
      <c r="D277" s="28">
        <v>44266</v>
      </c>
      <c r="E277" s="15"/>
      <c r="F277" s="3"/>
      <c r="G277" s="3"/>
      <c r="H277" s="7"/>
      <c r="I277" s="18">
        <f t="shared" si="13"/>
        <v>575</v>
      </c>
      <c r="J277" s="18">
        <f t="shared" si="11"/>
        <v>5750</v>
      </c>
    </row>
    <row r="278" spans="1:10" x14ac:dyDescent="0.45">
      <c r="A278" s="15" t="s">
        <v>335</v>
      </c>
      <c r="B278" s="15" t="s">
        <v>311</v>
      </c>
      <c r="C278" s="19">
        <v>2330</v>
      </c>
      <c r="D278" s="28">
        <v>44266</v>
      </c>
      <c r="E278" s="15"/>
      <c r="F278" s="3"/>
      <c r="G278" s="3"/>
      <c r="H278" s="7"/>
      <c r="I278" s="18">
        <f t="shared" si="13"/>
        <v>1941.6666666666667</v>
      </c>
      <c r="J278" s="18">
        <f t="shared" si="11"/>
        <v>19416.666666666668</v>
      </c>
    </row>
    <row r="279" spans="1:10" x14ac:dyDescent="0.45">
      <c r="A279" s="15" t="s">
        <v>336</v>
      </c>
      <c r="B279" s="15" t="s">
        <v>311</v>
      </c>
      <c r="C279" s="19">
        <v>60</v>
      </c>
      <c r="D279" s="28">
        <v>44247</v>
      </c>
      <c r="E279" s="15"/>
      <c r="F279" s="3"/>
      <c r="G279" s="3"/>
      <c r="H279" s="7"/>
      <c r="I279" s="18">
        <f t="shared" si="13"/>
        <v>50</v>
      </c>
      <c r="J279" s="18">
        <f t="shared" si="11"/>
        <v>500</v>
      </c>
    </row>
    <row r="280" spans="1:10" x14ac:dyDescent="0.45">
      <c r="A280" s="15" t="s">
        <v>337</v>
      </c>
      <c r="B280" s="15" t="s">
        <v>311</v>
      </c>
      <c r="C280" s="19">
        <v>120</v>
      </c>
      <c r="D280" s="28">
        <v>44247</v>
      </c>
      <c r="E280" s="15"/>
      <c r="F280" s="3"/>
      <c r="G280" s="3"/>
      <c r="H280" s="7"/>
      <c r="I280" s="18">
        <f t="shared" si="13"/>
        <v>100</v>
      </c>
      <c r="J280" s="18">
        <f t="shared" si="11"/>
        <v>1000</v>
      </c>
    </row>
    <row r="281" spans="1:10" x14ac:dyDescent="0.45">
      <c r="A281" s="15" t="s">
        <v>339</v>
      </c>
      <c r="B281" s="15" t="s">
        <v>341</v>
      </c>
      <c r="C281" s="19">
        <v>80</v>
      </c>
      <c r="D281" s="28">
        <v>44247</v>
      </c>
      <c r="E281" s="15"/>
      <c r="F281" s="3"/>
      <c r="G281" s="3"/>
      <c r="H281" s="7"/>
      <c r="I281" s="21">
        <f t="shared" si="13"/>
        <v>66.666666666666671</v>
      </c>
      <c r="J281" s="21">
        <f t="shared" si="11"/>
        <v>666.66666666666674</v>
      </c>
    </row>
    <row r="282" spans="1:10" x14ac:dyDescent="0.45">
      <c r="A282" s="15" t="s">
        <v>342</v>
      </c>
      <c r="B282" s="15" t="s">
        <v>340</v>
      </c>
      <c r="C282" s="19">
        <v>80</v>
      </c>
      <c r="D282" s="28">
        <v>44247</v>
      </c>
      <c r="E282" s="15"/>
      <c r="F282" s="3"/>
      <c r="G282" s="3"/>
      <c r="H282" s="7"/>
      <c r="I282" s="18">
        <f t="shared" si="13"/>
        <v>66.666666666666671</v>
      </c>
      <c r="J282" s="18">
        <f t="shared" si="11"/>
        <v>666.66666666666674</v>
      </c>
    </row>
    <row r="283" spans="1:10" x14ac:dyDescent="0.45">
      <c r="A283" s="15" t="s">
        <v>343</v>
      </c>
      <c r="B283" s="15" t="s">
        <v>340</v>
      </c>
      <c r="C283" s="19">
        <v>140</v>
      </c>
      <c r="D283" s="28">
        <v>44247</v>
      </c>
      <c r="E283" s="15"/>
      <c r="F283" s="3"/>
      <c r="G283" s="3"/>
      <c r="H283" s="7"/>
      <c r="I283" s="18">
        <f t="shared" si="13"/>
        <v>116.66666666666667</v>
      </c>
      <c r="J283" s="18">
        <f t="shared" si="11"/>
        <v>1166.6666666666667</v>
      </c>
    </row>
    <row r="284" spans="1:10" hidden="1" x14ac:dyDescent="0.45">
      <c r="I284" s="21">
        <f t="shared" si="13"/>
        <v>0</v>
      </c>
      <c r="J284" s="21">
        <f t="shared" si="11"/>
        <v>0</v>
      </c>
    </row>
    <row r="285" spans="1:10" hidden="1" x14ac:dyDescent="0.45">
      <c r="I285" s="18">
        <f t="shared" si="13"/>
        <v>0</v>
      </c>
      <c r="J285" s="18">
        <f t="shared" si="11"/>
        <v>0</v>
      </c>
    </row>
    <row r="286" spans="1:10" hidden="1" x14ac:dyDescent="0.45">
      <c r="I286" s="18">
        <f t="shared" si="13"/>
        <v>0</v>
      </c>
      <c r="J286" s="18">
        <f t="shared" si="11"/>
        <v>0</v>
      </c>
    </row>
    <row r="287" spans="1:10" hidden="1" x14ac:dyDescent="0.45">
      <c r="I287" s="18">
        <f t="shared" si="13"/>
        <v>0</v>
      </c>
      <c r="J287" s="18">
        <f t="shared" si="11"/>
        <v>0</v>
      </c>
    </row>
    <row r="288" spans="1:10" hidden="1" x14ac:dyDescent="0.45">
      <c r="I288" s="18">
        <f t="shared" si="13"/>
        <v>0</v>
      </c>
      <c r="J288" s="18">
        <f t="shared" si="11"/>
        <v>0</v>
      </c>
    </row>
    <row r="289" spans="9:10" hidden="1" x14ac:dyDescent="0.45">
      <c r="I289" s="18">
        <f t="shared" si="13"/>
        <v>0</v>
      </c>
      <c r="J289" s="18">
        <f t="shared" ref="J289:J306" si="14">I289*$J$6</f>
        <v>0</v>
      </c>
    </row>
    <row r="290" spans="9:10" hidden="1" x14ac:dyDescent="0.45">
      <c r="I290" s="18">
        <f t="shared" ref="I290:I306" si="15">C290/(1+$K$6)</f>
        <v>0</v>
      </c>
      <c r="J290" s="18">
        <f t="shared" si="14"/>
        <v>0</v>
      </c>
    </row>
    <row r="291" spans="9:10" hidden="1" x14ac:dyDescent="0.45">
      <c r="I291" s="18">
        <f t="shared" si="15"/>
        <v>0</v>
      </c>
      <c r="J291" s="18">
        <f t="shared" si="14"/>
        <v>0</v>
      </c>
    </row>
    <row r="292" spans="9:10" hidden="1" x14ac:dyDescent="0.45">
      <c r="I292" s="18">
        <f t="shared" si="15"/>
        <v>0</v>
      </c>
      <c r="J292" s="18">
        <f t="shared" si="14"/>
        <v>0</v>
      </c>
    </row>
    <row r="293" spans="9:10" hidden="1" x14ac:dyDescent="0.45">
      <c r="I293" s="18">
        <f t="shared" si="15"/>
        <v>0</v>
      </c>
      <c r="J293" s="18">
        <f t="shared" si="14"/>
        <v>0</v>
      </c>
    </row>
    <row r="294" spans="9:10" hidden="1" x14ac:dyDescent="0.45">
      <c r="I294" s="18">
        <f t="shared" si="15"/>
        <v>0</v>
      </c>
      <c r="J294" s="18">
        <f t="shared" si="14"/>
        <v>0</v>
      </c>
    </row>
    <row r="295" spans="9:10" hidden="1" x14ac:dyDescent="0.45">
      <c r="I295" s="18">
        <f t="shared" si="15"/>
        <v>0</v>
      </c>
      <c r="J295" s="18">
        <f t="shared" si="14"/>
        <v>0</v>
      </c>
    </row>
    <row r="296" spans="9:10" hidden="1" x14ac:dyDescent="0.45">
      <c r="I296" s="18">
        <f t="shared" si="15"/>
        <v>0</v>
      </c>
      <c r="J296" s="18">
        <f t="shared" si="14"/>
        <v>0</v>
      </c>
    </row>
    <row r="297" spans="9:10" hidden="1" x14ac:dyDescent="0.45">
      <c r="I297" s="18">
        <f t="shared" si="15"/>
        <v>0</v>
      </c>
      <c r="J297" s="18">
        <f t="shared" si="14"/>
        <v>0</v>
      </c>
    </row>
    <row r="298" spans="9:10" hidden="1" x14ac:dyDescent="0.45">
      <c r="I298" s="18">
        <f t="shared" si="15"/>
        <v>0</v>
      </c>
      <c r="J298" s="18">
        <f t="shared" si="14"/>
        <v>0</v>
      </c>
    </row>
    <row r="299" spans="9:10" hidden="1" x14ac:dyDescent="0.45">
      <c r="I299" s="18">
        <f t="shared" si="15"/>
        <v>0</v>
      </c>
      <c r="J299" s="18">
        <f t="shared" si="14"/>
        <v>0</v>
      </c>
    </row>
    <row r="300" spans="9:10" hidden="1" x14ac:dyDescent="0.45">
      <c r="I300" s="18">
        <f t="shared" si="15"/>
        <v>0</v>
      </c>
      <c r="J300" s="18">
        <f t="shared" si="14"/>
        <v>0</v>
      </c>
    </row>
    <row r="301" spans="9:10" hidden="1" x14ac:dyDescent="0.45">
      <c r="I301" s="18">
        <f t="shared" si="15"/>
        <v>0</v>
      </c>
      <c r="J301" s="18">
        <f t="shared" si="14"/>
        <v>0</v>
      </c>
    </row>
    <row r="302" spans="9:10" hidden="1" x14ac:dyDescent="0.45">
      <c r="I302" s="18">
        <f t="shared" si="15"/>
        <v>0</v>
      </c>
      <c r="J302" s="18">
        <f t="shared" si="14"/>
        <v>0</v>
      </c>
    </row>
    <row r="303" spans="9:10" hidden="1" x14ac:dyDescent="0.45">
      <c r="I303" s="18">
        <f t="shared" si="15"/>
        <v>0</v>
      </c>
      <c r="J303" s="18">
        <f t="shared" si="14"/>
        <v>0</v>
      </c>
    </row>
    <row r="304" spans="9:10" hidden="1" x14ac:dyDescent="0.45">
      <c r="I304" s="18">
        <f t="shared" si="15"/>
        <v>0</v>
      </c>
      <c r="J304" s="18">
        <f t="shared" si="14"/>
        <v>0</v>
      </c>
    </row>
    <row r="305" spans="9:10" hidden="1" x14ac:dyDescent="0.45">
      <c r="I305" s="18">
        <f t="shared" si="15"/>
        <v>0</v>
      </c>
      <c r="J305" s="18">
        <f t="shared" si="14"/>
        <v>0</v>
      </c>
    </row>
    <row r="306" spans="9:10" hidden="1" x14ac:dyDescent="0.45">
      <c r="I306" s="18">
        <f t="shared" si="15"/>
        <v>0</v>
      </c>
      <c r="J306" s="18">
        <f t="shared" si="14"/>
        <v>0</v>
      </c>
    </row>
    <row r="307" spans="9:10" hidden="1" x14ac:dyDescent="0.45"/>
  </sheetData>
  <sortState xmlns:xlrd2="http://schemas.microsoft.com/office/spreadsheetml/2017/richdata2" ref="A11:E179">
    <sortCondition ref="A11:A179"/>
  </sortState>
  <mergeCells count="15">
    <mergeCell ref="A1:B2"/>
    <mergeCell ref="A3:B3"/>
    <mergeCell ref="A4:B4"/>
    <mergeCell ref="I1:I4"/>
    <mergeCell ref="A257:B257"/>
    <mergeCell ref="A249:H249"/>
    <mergeCell ref="A149:H149"/>
    <mergeCell ref="A179:H179"/>
    <mergeCell ref="A5:H5"/>
    <mergeCell ref="A15:H15"/>
    <mergeCell ref="A31:H31"/>
    <mergeCell ref="A80:H80"/>
    <mergeCell ref="A87:H87"/>
    <mergeCell ref="A126:G126"/>
    <mergeCell ref="A141:J141"/>
  </mergeCells>
  <printOptions horizontalCentered="1"/>
  <pageMargins left="0.23622047244094491" right="0.23622047244094491" top="0.74803149606299213" bottom="0.74803149606299213" header="0.31496062992125984" footer="0.31496062992125984"/>
  <pageSetup paperSize="1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arovich</dc:creator>
  <cp:lastModifiedBy>Pablo Arovich</cp:lastModifiedBy>
  <cp:lastPrinted>2021-01-28T12:46:17Z</cp:lastPrinted>
  <dcterms:created xsi:type="dcterms:W3CDTF">2015-06-05T18:19:34Z</dcterms:created>
  <dcterms:modified xsi:type="dcterms:W3CDTF">2021-04-28T19:02:56Z</dcterms:modified>
</cp:coreProperties>
</file>